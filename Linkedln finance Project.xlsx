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sql\"/>
    </mc:Choice>
  </mc:AlternateContent>
  <xr:revisionPtr revIDLastSave="0" documentId="13_ncr:1_{28BF822D-4716-4AAA-907B-BC4AC27BC7F6}" xr6:coauthVersionLast="47" xr6:coauthVersionMax="47" xr10:uidLastSave="{00000000-0000-0000-0000-000000000000}"/>
  <bookViews>
    <workbookView xWindow="-110" yWindow="-110" windowWidth="19420" windowHeight="10420" tabRatio="691" firstSheet="1" activeTab="7" xr2:uid="{00000000-000D-0000-FFFF-FFFF00000000}"/>
  </bookViews>
  <sheets>
    <sheet name="Assumptions" sheetId="1" r:id="rId1"/>
    <sheet name="Revenue Model" sheetId="2" r:id="rId2"/>
    <sheet name="P&amp;L" sheetId="3" r:id="rId3"/>
    <sheet name="Balance Sheet" sheetId="4" r:id="rId4"/>
    <sheet name="Cash Flow" sheetId="5" r:id="rId5"/>
    <sheet name="Scenerios" sheetId="6" r:id="rId6"/>
    <sheet name="Monte Carlo" sheetId="7" r:id="rId7"/>
    <sheet name="Dashboard" sheetId="8" r:id="rId8"/>
  </sheets>
  <externalReferences>
    <externalReference r:id="rId9"/>
  </externalReferences>
  <definedNames>
    <definedName name="_xlchart.v1.0" hidden="1">'Monte Carlo'!$E$14:$E$1013</definedName>
    <definedName name="_xlchart.v1.1" hidden="1">'Monte Carlo'!$E$14:$E$1013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8" l="1"/>
  <c r="C2" i="8"/>
  <c r="B2" i="8"/>
  <c r="A2" i="8"/>
  <c r="B16" i="7"/>
  <c r="C16" i="7"/>
  <c r="B17" i="7"/>
  <c r="C17" i="7"/>
  <c r="B18" i="7"/>
  <c r="C18" i="7"/>
  <c r="B19" i="7"/>
  <c r="C19" i="7"/>
  <c r="B20" i="7"/>
  <c r="C20" i="7"/>
  <c r="B21" i="7"/>
  <c r="C21" i="7"/>
  <c r="B22" i="7"/>
  <c r="C22" i="7"/>
  <c r="B23" i="7"/>
  <c r="C23" i="7"/>
  <c r="B24" i="7"/>
  <c r="C24" i="7"/>
  <c r="B25" i="7"/>
  <c r="C25" i="7"/>
  <c r="B26" i="7"/>
  <c r="C26" i="7"/>
  <c r="B27" i="7"/>
  <c r="C27" i="7"/>
  <c r="B28" i="7"/>
  <c r="C28" i="7"/>
  <c r="B29" i="7"/>
  <c r="C29" i="7"/>
  <c r="B30" i="7"/>
  <c r="C30" i="7"/>
  <c r="B31" i="7"/>
  <c r="C31" i="7"/>
  <c r="B32" i="7"/>
  <c r="C32" i="7"/>
  <c r="B33" i="7"/>
  <c r="C33" i="7"/>
  <c r="B34" i="7"/>
  <c r="C34" i="7"/>
  <c r="B35" i="7"/>
  <c r="C35" i="7"/>
  <c r="B36" i="7"/>
  <c r="C36" i="7"/>
  <c r="B37" i="7"/>
  <c r="C37" i="7"/>
  <c r="B38" i="7"/>
  <c r="C38" i="7"/>
  <c r="B39" i="7"/>
  <c r="C39" i="7"/>
  <c r="B40" i="7"/>
  <c r="C40" i="7"/>
  <c r="B41" i="7"/>
  <c r="C41" i="7"/>
  <c r="B42" i="7"/>
  <c r="C42" i="7"/>
  <c r="B43" i="7"/>
  <c r="C43" i="7"/>
  <c r="B44" i="7"/>
  <c r="C44" i="7"/>
  <c r="B45" i="7"/>
  <c r="C45" i="7"/>
  <c r="B46" i="7"/>
  <c r="C46" i="7"/>
  <c r="B47" i="7"/>
  <c r="C47" i="7"/>
  <c r="B48" i="7"/>
  <c r="C48" i="7"/>
  <c r="B49" i="7"/>
  <c r="C49" i="7"/>
  <c r="B50" i="7"/>
  <c r="C50" i="7"/>
  <c r="B51" i="7"/>
  <c r="C51" i="7"/>
  <c r="B52" i="7"/>
  <c r="C52" i="7"/>
  <c r="B53" i="7"/>
  <c r="C53" i="7"/>
  <c r="B54" i="7"/>
  <c r="C54" i="7"/>
  <c r="B55" i="7"/>
  <c r="C55" i="7"/>
  <c r="B56" i="7"/>
  <c r="C56" i="7"/>
  <c r="B57" i="7"/>
  <c r="C57" i="7"/>
  <c r="B58" i="7"/>
  <c r="C58" i="7"/>
  <c r="B59" i="7"/>
  <c r="C59" i="7"/>
  <c r="B60" i="7"/>
  <c r="C60" i="7"/>
  <c r="B61" i="7"/>
  <c r="C61" i="7"/>
  <c r="B62" i="7"/>
  <c r="C62" i="7"/>
  <c r="B63" i="7"/>
  <c r="C63" i="7"/>
  <c r="B64" i="7"/>
  <c r="C64" i="7"/>
  <c r="B65" i="7"/>
  <c r="C65" i="7"/>
  <c r="B66" i="7"/>
  <c r="C66" i="7"/>
  <c r="B67" i="7"/>
  <c r="C67" i="7"/>
  <c r="B68" i="7"/>
  <c r="C68" i="7"/>
  <c r="B69" i="7"/>
  <c r="C69" i="7"/>
  <c r="B70" i="7"/>
  <c r="C70" i="7"/>
  <c r="B71" i="7"/>
  <c r="C71" i="7"/>
  <c r="B72" i="7"/>
  <c r="C72" i="7"/>
  <c r="B73" i="7"/>
  <c r="C73" i="7"/>
  <c r="B74" i="7"/>
  <c r="C74" i="7"/>
  <c r="B75" i="7"/>
  <c r="C75" i="7"/>
  <c r="B76" i="7"/>
  <c r="C76" i="7"/>
  <c r="B77" i="7"/>
  <c r="C77" i="7"/>
  <c r="B78" i="7"/>
  <c r="C78" i="7"/>
  <c r="B79" i="7"/>
  <c r="C79" i="7"/>
  <c r="B80" i="7"/>
  <c r="C80" i="7"/>
  <c r="B81" i="7"/>
  <c r="C81" i="7"/>
  <c r="B82" i="7"/>
  <c r="C82" i="7"/>
  <c r="B83" i="7"/>
  <c r="C83" i="7"/>
  <c r="B84" i="7"/>
  <c r="C84" i="7"/>
  <c r="B85" i="7"/>
  <c r="C85" i="7"/>
  <c r="B86" i="7"/>
  <c r="C86" i="7"/>
  <c r="B87" i="7"/>
  <c r="C87" i="7"/>
  <c r="B88" i="7"/>
  <c r="C88" i="7"/>
  <c r="B89" i="7"/>
  <c r="C89" i="7"/>
  <c r="B90" i="7"/>
  <c r="C90" i="7"/>
  <c r="B91" i="7"/>
  <c r="C91" i="7"/>
  <c r="B92" i="7"/>
  <c r="C92" i="7"/>
  <c r="B93" i="7"/>
  <c r="C93" i="7"/>
  <c r="B94" i="7"/>
  <c r="C94" i="7"/>
  <c r="B95" i="7"/>
  <c r="C95" i="7"/>
  <c r="B96" i="7"/>
  <c r="C96" i="7"/>
  <c r="B97" i="7"/>
  <c r="C97" i="7"/>
  <c r="B98" i="7"/>
  <c r="C98" i="7"/>
  <c r="B99" i="7"/>
  <c r="C99" i="7"/>
  <c r="B100" i="7"/>
  <c r="C100" i="7"/>
  <c r="B101" i="7"/>
  <c r="C101" i="7"/>
  <c r="B102" i="7"/>
  <c r="C102" i="7"/>
  <c r="B103" i="7"/>
  <c r="C103" i="7"/>
  <c r="B104" i="7"/>
  <c r="C104" i="7"/>
  <c r="B105" i="7"/>
  <c r="C105" i="7"/>
  <c r="B106" i="7"/>
  <c r="C106" i="7"/>
  <c r="B107" i="7"/>
  <c r="C107" i="7"/>
  <c r="B108" i="7"/>
  <c r="C108" i="7"/>
  <c r="B109" i="7"/>
  <c r="C109" i="7"/>
  <c r="B110" i="7"/>
  <c r="C110" i="7"/>
  <c r="B111" i="7"/>
  <c r="C111" i="7"/>
  <c r="B112" i="7"/>
  <c r="C112" i="7"/>
  <c r="B113" i="7"/>
  <c r="C113" i="7"/>
  <c r="B114" i="7"/>
  <c r="C114" i="7"/>
  <c r="B115" i="7"/>
  <c r="C115" i="7"/>
  <c r="B116" i="7"/>
  <c r="C116" i="7"/>
  <c r="B117" i="7"/>
  <c r="C117" i="7"/>
  <c r="B118" i="7"/>
  <c r="C118" i="7"/>
  <c r="B119" i="7"/>
  <c r="C119" i="7"/>
  <c r="B120" i="7"/>
  <c r="C120" i="7"/>
  <c r="B121" i="7"/>
  <c r="C121" i="7"/>
  <c r="B122" i="7"/>
  <c r="C122" i="7"/>
  <c r="B123" i="7"/>
  <c r="C123" i="7"/>
  <c r="B124" i="7"/>
  <c r="C124" i="7"/>
  <c r="B125" i="7"/>
  <c r="C125" i="7"/>
  <c r="B126" i="7"/>
  <c r="C126" i="7"/>
  <c r="B127" i="7"/>
  <c r="C127" i="7"/>
  <c r="B128" i="7"/>
  <c r="C128" i="7"/>
  <c r="B129" i="7"/>
  <c r="C129" i="7"/>
  <c r="B130" i="7"/>
  <c r="C130" i="7"/>
  <c r="B131" i="7"/>
  <c r="C131" i="7"/>
  <c r="B132" i="7"/>
  <c r="C132" i="7"/>
  <c r="B133" i="7"/>
  <c r="C133" i="7"/>
  <c r="B134" i="7"/>
  <c r="C134" i="7"/>
  <c r="B135" i="7"/>
  <c r="C135" i="7"/>
  <c r="B136" i="7"/>
  <c r="C136" i="7"/>
  <c r="B137" i="7"/>
  <c r="C137" i="7"/>
  <c r="B138" i="7"/>
  <c r="C138" i="7"/>
  <c r="B139" i="7"/>
  <c r="C139" i="7"/>
  <c r="B140" i="7"/>
  <c r="C140" i="7"/>
  <c r="B141" i="7"/>
  <c r="C141" i="7"/>
  <c r="B142" i="7"/>
  <c r="C142" i="7"/>
  <c r="B143" i="7"/>
  <c r="C143" i="7"/>
  <c r="B144" i="7"/>
  <c r="C144" i="7"/>
  <c r="B145" i="7"/>
  <c r="C145" i="7"/>
  <c r="B146" i="7"/>
  <c r="C146" i="7"/>
  <c r="B147" i="7"/>
  <c r="C147" i="7"/>
  <c r="B148" i="7"/>
  <c r="C148" i="7"/>
  <c r="B149" i="7"/>
  <c r="C149" i="7"/>
  <c r="B150" i="7"/>
  <c r="C150" i="7"/>
  <c r="B151" i="7"/>
  <c r="C151" i="7"/>
  <c r="B152" i="7"/>
  <c r="C152" i="7"/>
  <c r="B153" i="7"/>
  <c r="C153" i="7"/>
  <c r="B154" i="7"/>
  <c r="C154" i="7"/>
  <c r="B155" i="7"/>
  <c r="C155" i="7"/>
  <c r="B156" i="7"/>
  <c r="C156" i="7"/>
  <c r="B157" i="7"/>
  <c r="C157" i="7"/>
  <c r="B158" i="7"/>
  <c r="C158" i="7"/>
  <c r="B159" i="7"/>
  <c r="C159" i="7"/>
  <c r="B160" i="7"/>
  <c r="C160" i="7"/>
  <c r="B161" i="7"/>
  <c r="C161" i="7"/>
  <c r="B162" i="7"/>
  <c r="C162" i="7"/>
  <c r="B163" i="7"/>
  <c r="C163" i="7"/>
  <c r="B164" i="7"/>
  <c r="C164" i="7"/>
  <c r="B165" i="7"/>
  <c r="C165" i="7"/>
  <c r="B166" i="7"/>
  <c r="C166" i="7"/>
  <c r="B167" i="7"/>
  <c r="C167" i="7"/>
  <c r="B168" i="7"/>
  <c r="C168" i="7"/>
  <c r="B169" i="7"/>
  <c r="C169" i="7"/>
  <c r="B170" i="7"/>
  <c r="C170" i="7"/>
  <c r="B171" i="7"/>
  <c r="C171" i="7"/>
  <c r="B172" i="7"/>
  <c r="C172" i="7"/>
  <c r="B173" i="7"/>
  <c r="C173" i="7"/>
  <c r="B174" i="7"/>
  <c r="C174" i="7"/>
  <c r="B175" i="7"/>
  <c r="C175" i="7"/>
  <c r="B176" i="7"/>
  <c r="C176" i="7"/>
  <c r="B177" i="7"/>
  <c r="C177" i="7"/>
  <c r="B178" i="7"/>
  <c r="C178" i="7"/>
  <c r="B179" i="7"/>
  <c r="C179" i="7"/>
  <c r="B180" i="7"/>
  <c r="C180" i="7"/>
  <c r="B181" i="7"/>
  <c r="C181" i="7"/>
  <c r="B182" i="7"/>
  <c r="C182" i="7"/>
  <c r="B183" i="7"/>
  <c r="C183" i="7"/>
  <c r="B184" i="7"/>
  <c r="C184" i="7"/>
  <c r="B185" i="7"/>
  <c r="C185" i="7"/>
  <c r="B186" i="7"/>
  <c r="C186" i="7"/>
  <c r="B187" i="7"/>
  <c r="C187" i="7"/>
  <c r="B188" i="7"/>
  <c r="C188" i="7"/>
  <c r="B189" i="7"/>
  <c r="C189" i="7"/>
  <c r="B190" i="7"/>
  <c r="C190" i="7"/>
  <c r="B191" i="7"/>
  <c r="C191" i="7"/>
  <c r="B192" i="7"/>
  <c r="C192" i="7"/>
  <c r="B193" i="7"/>
  <c r="C193" i="7"/>
  <c r="B194" i="7"/>
  <c r="C194" i="7"/>
  <c r="B195" i="7"/>
  <c r="C195" i="7"/>
  <c r="B196" i="7"/>
  <c r="C196" i="7"/>
  <c r="B197" i="7"/>
  <c r="C197" i="7"/>
  <c r="B198" i="7"/>
  <c r="C198" i="7"/>
  <c r="B199" i="7"/>
  <c r="C199" i="7"/>
  <c r="B200" i="7"/>
  <c r="C200" i="7"/>
  <c r="B201" i="7"/>
  <c r="C201" i="7"/>
  <c r="B202" i="7"/>
  <c r="C202" i="7"/>
  <c r="B203" i="7"/>
  <c r="C203" i="7"/>
  <c r="B204" i="7"/>
  <c r="C204" i="7"/>
  <c r="B205" i="7"/>
  <c r="C205" i="7"/>
  <c r="B206" i="7"/>
  <c r="C206" i="7"/>
  <c r="B207" i="7"/>
  <c r="C207" i="7"/>
  <c r="B208" i="7"/>
  <c r="C208" i="7"/>
  <c r="B209" i="7"/>
  <c r="C209" i="7"/>
  <c r="B210" i="7"/>
  <c r="C210" i="7"/>
  <c r="B211" i="7"/>
  <c r="C211" i="7"/>
  <c r="B212" i="7"/>
  <c r="C212" i="7"/>
  <c r="B213" i="7"/>
  <c r="C213" i="7"/>
  <c r="B214" i="7"/>
  <c r="C214" i="7"/>
  <c r="B215" i="7"/>
  <c r="C215" i="7"/>
  <c r="B216" i="7"/>
  <c r="C216" i="7"/>
  <c r="B217" i="7"/>
  <c r="C217" i="7"/>
  <c r="B218" i="7"/>
  <c r="C218" i="7"/>
  <c r="B219" i="7"/>
  <c r="C219" i="7"/>
  <c r="B220" i="7"/>
  <c r="C220" i="7"/>
  <c r="B221" i="7"/>
  <c r="C221" i="7"/>
  <c r="B222" i="7"/>
  <c r="C222" i="7"/>
  <c r="B223" i="7"/>
  <c r="C223" i="7"/>
  <c r="B224" i="7"/>
  <c r="C224" i="7"/>
  <c r="B225" i="7"/>
  <c r="C225" i="7"/>
  <c r="B226" i="7"/>
  <c r="C226" i="7"/>
  <c r="B227" i="7"/>
  <c r="C227" i="7"/>
  <c r="B228" i="7"/>
  <c r="C228" i="7"/>
  <c r="B229" i="7"/>
  <c r="C229" i="7"/>
  <c r="B230" i="7"/>
  <c r="C230" i="7"/>
  <c r="B231" i="7"/>
  <c r="C231" i="7"/>
  <c r="B232" i="7"/>
  <c r="C232" i="7"/>
  <c r="B233" i="7"/>
  <c r="C233" i="7"/>
  <c r="B234" i="7"/>
  <c r="C234" i="7"/>
  <c r="B235" i="7"/>
  <c r="C235" i="7"/>
  <c r="B236" i="7"/>
  <c r="C236" i="7"/>
  <c r="B237" i="7"/>
  <c r="C237" i="7"/>
  <c r="B238" i="7"/>
  <c r="C238" i="7"/>
  <c r="B239" i="7"/>
  <c r="C239" i="7"/>
  <c r="B240" i="7"/>
  <c r="C240" i="7"/>
  <c r="B241" i="7"/>
  <c r="C241" i="7"/>
  <c r="B242" i="7"/>
  <c r="C242" i="7"/>
  <c r="B243" i="7"/>
  <c r="C243" i="7"/>
  <c r="B244" i="7"/>
  <c r="C244" i="7"/>
  <c r="B245" i="7"/>
  <c r="C245" i="7"/>
  <c r="B246" i="7"/>
  <c r="C246" i="7"/>
  <c r="B247" i="7"/>
  <c r="C247" i="7"/>
  <c r="B248" i="7"/>
  <c r="C248" i="7"/>
  <c r="B249" i="7"/>
  <c r="C249" i="7"/>
  <c r="B250" i="7"/>
  <c r="C250" i="7"/>
  <c r="B251" i="7"/>
  <c r="C251" i="7"/>
  <c r="B252" i="7"/>
  <c r="C252" i="7"/>
  <c r="B253" i="7"/>
  <c r="C253" i="7"/>
  <c r="B254" i="7"/>
  <c r="C254" i="7"/>
  <c r="B255" i="7"/>
  <c r="C255" i="7"/>
  <c r="B256" i="7"/>
  <c r="C256" i="7"/>
  <c r="B257" i="7"/>
  <c r="C257" i="7"/>
  <c r="B258" i="7"/>
  <c r="C258" i="7"/>
  <c r="B259" i="7"/>
  <c r="C259" i="7"/>
  <c r="B260" i="7"/>
  <c r="C260" i="7"/>
  <c r="B261" i="7"/>
  <c r="C261" i="7"/>
  <c r="B262" i="7"/>
  <c r="C262" i="7"/>
  <c r="B263" i="7"/>
  <c r="C263" i="7"/>
  <c r="B264" i="7"/>
  <c r="C264" i="7"/>
  <c r="B265" i="7"/>
  <c r="C265" i="7"/>
  <c r="B266" i="7"/>
  <c r="C266" i="7"/>
  <c r="B267" i="7"/>
  <c r="C267" i="7"/>
  <c r="B268" i="7"/>
  <c r="C268" i="7"/>
  <c r="B269" i="7"/>
  <c r="C269" i="7"/>
  <c r="B270" i="7"/>
  <c r="C270" i="7"/>
  <c r="B271" i="7"/>
  <c r="C271" i="7"/>
  <c r="B272" i="7"/>
  <c r="C272" i="7"/>
  <c r="B273" i="7"/>
  <c r="C273" i="7"/>
  <c r="B274" i="7"/>
  <c r="C274" i="7"/>
  <c r="B275" i="7"/>
  <c r="C275" i="7"/>
  <c r="B276" i="7"/>
  <c r="C276" i="7"/>
  <c r="B277" i="7"/>
  <c r="C277" i="7"/>
  <c r="B278" i="7"/>
  <c r="C278" i="7"/>
  <c r="B279" i="7"/>
  <c r="C279" i="7"/>
  <c r="B280" i="7"/>
  <c r="C280" i="7"/>
  <c r="B281" i="7"/>
  <c r="C281" i="7"/>
  <c r="B282" i="7"/>
  <c r="C282" i="7"/>
  <c r="B283" i="7"/>
  <c r="C283" i="7"/>
  <c r="B284" i="7"/>
  <c r="C284" i="7"/>
  <c r="B285" i="7"/>
  <c r="C285" i="7"/>
  <c r="B286" i="7"/>
  <c r="C286" i="7"/>
  <c r="B287" i="7"/>
  <c r="C287" i="7"/>
  <c r="B288" i="7"/>
  <c r="C288" i="7"/>
  <c r="B289" i="7"/>
  <c r="C289" i="7"/>
  <c r="B290" i="7"/>
  <c r="C290" i="7"/>
  <c r="B291" i="7"/>
  <c r="C291" i="7"/>
  <c r="B292" i="7"/>
  <c r="C292" i="7"/>
  <c r="B293" i="7"/>
  <c r="C293" i="7"/>
  <c r="B294" i="7"/>
  <c r="C294" i="7"/>
  <c r="B295" i="7"/>
  <c r="C295" i="7"/>
  <c r="B296" i="7"/>
  <c r="C296" i="7"/>
  <c r="B297" i="7"/>
  <c r="C297" i="7"/>
  <c r="B298" i="7"/>
  <c r="C298" i="7"/>
  <c r="B299" i="7"/>
  <c r="C299" i="7"/>
  <c r="B300" i="7"/>
  <c r="C300" i="7"/>
  <c r="B301" i="7"/>
  <c r="C301" i="7"/>
  <c r="B302" i="7"/>
  <c r="C302" i="7"/>
  <c r="B303" i="7"/>
  <c r="C303" i="7"/>
  <c r="B304" i="7"/>
  <c r="C304" i="7"/>
  <c r="B305" i="7"/>
  <c r="C305" i="7"/>
  <c r="B306" i="7"/>
  <c r="C306" i="7"/>
  <c r="B307" i="7"/>
  <c r="C307" i="7"/>
  <c r="B308" i="7"/>
  <c r="C308" i="7"/>
  <c r="B309" i="7"/>
  <c r="C309" i="7"/>
  <c r="B310" i="7"/>
  <c r="C310" i="7"/>
  <c r="B311" i="7"/>
  <c r="C311" i="7"/>
  <c r="B312" i="7"/>
  <c r="C312" i="7"/>
  <c r="B313" i="7"/>
  <c r="C313" i="7"/>
  <c r="B314" i="7"/>
  <c r="C314" i="7"/>
  <c r="B315" i="7"/>
  <c r="C315" i="7"/>
  <c r="B316" i="7"/>
  <c r="C316" i="7"/>
  <c r="B317" i="7"/>
  <c r="C317" i="7"/>
  <c r="B318" i="7"/>
  <c r="C318" i="7"/>
  <c r="B319" i="7"/>
  <c r="C319" i="7"/>
  <c r="B320" i="7"/>
  <c r="C320" i="7"/>
  <c r="B321" i="7"/>
  <c r="C321" i="7"/>
  <c r="B322" i="7"/>
  <c r="C322" i="7"/>
  <c r="B323" i="7"/>
  <c r="C323" i="7"/>
  <c r="B324" i="7"/>
  <c r="C324" i="7"/>
  <c r="B325" i="7"/>
  <c r="C325" i="7"/>
  <c r="B326" i="7"/>
  <c r="C326" i="7"/>
  <c r="B327" i="7"/>
  <c r="C327" i="7"/>
  <c r="B328" i="7"/>
  <c r="C328" i="7"/>
  <c r="B329" i="7"/>
  <c r="C329" i="7"/>
  <c r="B330" i="7"/>
  <c r="C330" i="7"/>
  <c r="B331" i="7"/>
  <c r="C331" i="7"/>
  <c r="B332" i="7"/>
  <c r="C332" i="7"/>
  <c r="B333" i="7"/>
  <c r="C333" i="7"/>
  <c r="B334" i="7"/>
  <c r="C334" i="7"/>
  <c r="B335" i="7"/>
  <c r="C335" i="7"/>
  <c r="B336" i="7"/>
  <c r="C336" i="7"/>
  <c r="B337" i="7"/>
  <c r="C337" i="7"/>
  <c r="B338" i="7"/>
  <c r="C338" i="7"/>
  <c r="B339" i="7"/>
  <c r="C339" i="7"/>
  <c r="B340" i="7"/>
  <c r="C340" i="7"/>
  <c r="B341" i="7"/>
  <c r="C341" i="7"/>
  <c r="B342" i="7"/>
  <c r="C342" i="7"/>
  <c r="B343" i="7"/>
  <c r="C343" i="7"/>
  <c r="B344" i="7"/>
  <c r="C344" i="7"/>
  <c r="B345" i="7"/>
  <c r="C345" i="7"/>
  <c r="B346" i="7"/>
  <c r="C346" i="7"/>
  <c r="B347" i="7"/>
  <c r="C347" i="7"/>
  <c r="B348" i="7"/>
  <c r="C348" i="7"/>
  <c r="B349" i="7"/>
  <c r="C349" i="7"/>
  <c r="B350" i="7"/>
  <c r="C350" i="7"/>
  <c r="B351" i="7"/>
  <c r="C351" i="7"/>
  <c r="B352" i="7"/>
  <c r="C352" i="7"/>
  <c r="B353" i="7"/>
  <c r="C353" i="7"/>
  <c r="B354" i="7"/>
  <c r="C354" i="7"/>
  <c r="B355" i="7"/>
  <c r="C355" i="7"/>
  <c r="B356" i="7"/>
  <c r="C356" i="7"/>
  <c r="B357" i="7"/>
  <c r="C357" i="7"/>
  <c r="B358" i="7"/>
  <c r="C358" i="7"/>
  <c r="B359" i="7"/>
  <c r="C359" i="7"/>
  <c r="B360" i="7"/>
  <c r="C360" i="7"/>
  <c r="B361" i="7"/>
  <c r="C361" i="7"/>
  <c r="B362" i="7"/>
  <c r="C362" i="7"/>
  <c r="B363" i="7"/>
  <c r="C363" i="7"/>
  <c r="B364" i="7"/>
  <c r="C364" i="7"/>
  <c r="B365" i="7"/>
  <c r="C365" i="7"/>
  <c r="B366" i="7"/>
  <c r="C366" i="7"/>
  <c r="B367" i="7"/>
  <c r="C367" i="7"/>
  <c r="B368" i="7"/>
  <c r="C368" i="7"/>
  <c r="B369" i="7"/>
  <c r="C369" i="7"/>
  <c r="B370" i="7"/>
  <c r="C370" i="7"/>
  <c r="B371" i="7"/>
  <c r="C371" i="7"/>
  <c r="B372" i="7"/>
  <c r="C372" i="7"/>
  <c r="B373" i="7"/>
  <c r="C373" i="7"/>
  <c r="B374" i="7"/>
  <c r="C374" i="7"/>
  <c r="B375" i="7"/>
  <c r="C375" i="7"/>
  <c r="B376" i="7"/>
  <c r="C376" i="7"/>
  <c r="B377" i="7"/>
  <c r="C377" i="7"/>
  <c r="B378" i="7"/>
  <c r="C378" i="7"/>
  <c r="B379" i="7"/>
  <c r="C379" i="7"/>
  <c r="B380" i="7"/>
  <c r="C380" i="7"/>
  <c r="B381" i="7"/>
  <c r="C381" i="7"/>
  <c r="B382" i="7"/>
  <c r="C382" i="7"/>
  <c r="B383" i="7"/>
  <c r="C383" i="7"/>
  <c r="B384" i="7"/>
  <c r="C384" i="7"/>
  <c r="B385" i="7"/>
  <c r="C385" i="7"/>
  <c r="B386" i="7"/>
  <c r="C386" i="7"/>
  <c r="B387" i="7"/>
  <c r="C387" i="7"/>
  <c r="B388" i="7"/>
  <c r="C388" i="7"/>
  <c r="B389" i="7"/>
  <c r="C389" i="7"/>
  <c r="B390" i="7"/>
  <c r="C390" i="7"/>
  <c r="B391" i="7"/>
  <c r="C391" i="7"/>
  <c r="B392" i="7"/>
  <c r="C392" i="7"/>
  <c r="B393" i="7"/>
  <c r="C393" i="7"/>
  <c r="B394" i="7"/>
  <c r="C394" i="7"/>
  <c r="B395" i="7"/>
  <c r="C395" i="7"/>
  <c r="B396" i="7"/>
  <c r="C396" i="7"/>
  <c r="B397" i="7"/>
  <c r="C397" i="7"/>
  <c r="B398" i="7"/>
  <c r="C398" i="7"/>
  <c r="B399" i="7"/>
  <c r="C399" i="7"/>
  <c r="B400" i="7"/>
  <c r="C400" i="7"/>
  <c r="B401" i="7"/>
  <c r="C401" i="7"/>
  <c r="B402" i="7"/>
  <c r="C402" i="7"/>
  <c r="B403" i="7"/>
  <c r="C403" i="7"/>
  <c r="B404" i="7"/>
  <c r="C404" i="7"/>
  <c r="B405" i="7"/>
  <c r="C405" i="7"/>
  <c r="B406" i="7"/>
  <c r="C406" i="7"/>
  <c r="B407" i="7"/>
  <c r="C407" i="7"/>
  <c r="B408" i="7"/>
  <c r="C408" i="7"/>
  <c r="B409" i="7"/>
  <c r="C409" i="7"/>
  <c r="B410" i="7"/>
  <c r="C410" i="7"/>
  <c r="B411" i="7"/>
  <c r="C411" i="7"/>
  <c r="B412" i="7"/>
  <c r="C412" i="7"/>
  <c r="B413" i="7"/>
  <c r="C413" i="7"/>
  <c r="B414" i="7"/>
  <c r="C414" i="7"/>
  <c r="B415" i="7"/>
  <c r="C415" i="7"/>
  <c r="B416" i="7"/>
  <c r="C416" i="7"/>
  <c r="B417" i="7"/>
  <c r="C417" i="7"/>
  <c r="B418" i="7"/>
  <c r="C418" i="7"/>
  <c r="B419" i="7"/>
  <c r="C419" i="7"/>
  <c r="B420" i="7"/>
  <c r="C420" i="7"/>
  <c r="B421" i="7"/>
  <c r="C421" i="7"/>
  <c r="B422" i="7"/>
  <c r="C422" i="7"/>
  <c r="B423" i="7"/>
  <c r="C423" i="7"/>
  <c r="B424" i="7"/>
  <c r="C424" i="7"/>
  <c r="B425" i="7"/>
  <c r="C425" i="7"/>
  <c r="B426" i="7"/>
  <c r="C426" i="7"/>
  <c r="B427" i="7"/>
  <c r="C427" i="7"/>
  <c r="B428" i="7"/>
  <c r="C428" i="7"/>
  <c r="B429" i="7"/>
  <c r="C429" i="7"/>
  <c r="B430" i="7"/>
  <c r="C430" i="7"/>
  <c r="B431" i="7"/>
  <c r="C431" i="7"/>
  <c r="B432" i="7"/>
  <c r="C432" i="7"/>
  <c r="B433" i="7"/>
  <c r="C433" i="7"/>
  <c r="B434" i="7"/>
  <c r="C434" i="7"/>
  <c r="B435" i="7"/>
  <c r="C435" i="7"/>
  <c r="B436" i="7"/>
  <c r="C436" i="7"/>
  <c r="B437" i="7"/>
  <c r="C437" i="7"/>
  <c r="B438" i="7"/>
  <c r="C438" i="7"/>
  <c r="B439" i="7"/>
  <c r="C439" i="7"/>
  <c r="B440" i="7"/>
  <c r="C440" i="7"/>
  <c r="B441" i="7"/>
  <c r="C441" i="7"/>
  <c r="B442" i="7"/>
  <c r="C442" i="7"/>
  <c r="B443" i="7"/>
  <c r="C443" i="7"/>
  <c r="B444" i="7"/>
  <c r="C444" i="7"/>
  <c r="B445" i="7"/>
  <c r="C445" i="7"/>
  <c r="B446" i="7"/>
  <c r="C446" i="7"/>
  <c r="B447" i="7"/>
  <c r="C447" i="7"/>
  <c r="B448" i="7"/>
  <c r="C448" i="7"/>
  <c r="B449" i="7"/>
  <c r="C449" i="7"/>
  <c r="B450" i="7"/>
  <c r="C450" i="7"/>
  <c r="B451" i="7"/>
  <c r="C451" i="7"/>
  <c r="B452" i="7"/>
  <c r="C452" i="7"/>
  <c r="B453" i="7"/>
  <c r="C453" i="7"/>
  <c r="B454" i="7"/>
  <c r="C454" i="7"/>
  <c r="B455" i="7"/>
  <c r="C455" i="7"/>
  <c r="B456" i="7"/>
  <c r="C456" i="7"/>
  <c r="B457" i="7"/>
  <c r="C457" i="7"/>
  <c r="B458" i="7"/>
  <c r="C458" i="7"/>
  <c r="B459" i="7"/>
  <c r="C459" i="7"/>
  <c r="B460" i="7"/>
  <c r="C460" i="7"/>
  <c r="B461" i="7"/>
  <c r="C461" i="7"/>
  <c r="B462" i="7"/>
  <c r="C462" i="7"/>
  <c r="B463" i="7"/>
  <c r="C463" i="7"/>
  <c r="B464" i="7"/>
  <c r="C464" i="7"/>
  <c r="B465" i="7"/>
  <c r="C465" i="7"/>
  <c r="B466" i="7"/>
  <c r="C466" i="7"/>
  <c r="B467" i="7"/>
  <c r="C467" i="7"/>
  <c r="B468" i="7"/>
  <c r="C468" i="7"/>
  <c r="B469" i="7"/>
  <c r="C469" i="7"/>
  <c r="B470" i="7"/>
  <c r="C470" i="7"/>
  <c r="B471" i="7"/>
  <c r="C471" i="7"/>
  <c r="B472" i="7"/>
  <c r="C472" i="7"/>
  <c r="B473" i="7"/>
  <c r="C473" i="7"/>
  <c r="B474" i="7"/>
  <c r="C474" i="7"/>
  <c r="B475" i="7"/>
  <c r="C475" i="7"/>
  <c r="B476" i="7"/>
  <c r="C476" i="7"/>
  <c r="B477" i="7"/>
  <c r="C477" i="7"/>
  <c r="B478" i="7"/>
  <c r="C478" i="7"/>
  <c r="B479" i="7"/>
  <c r="C479" i="7"/>
  <c r="B480" i="7"/>
  <c r="C480" i="7"/>
  <c r="B481" i="7"/>
  <c r="C481" i="7"/>
  <c r="B482" i="7"/>
  <c r="C482" i="7"/>
  <c r="B483" i="7"/>
  <c r="C483" i="7"/>
  <c r="B484" i="7"/>
  <c r="C484" i="7"/>
  <c r="B485" i="7"/>
  <c r="C485" i="7"/>
  <c r="B486" i="7"/>
  <c r="C486" i="7"/>
  <c r="B487" i="7"/>
  <c r="C487" i="7"/>
  <c r="B488" i="7"/>
  <c r="C488" i="7"/>
  <c r="B489" i="7"/>
  <c r="C489" i="7"/>
  <c r="B490" i="7"/>
  <c r="C490" i="7"/>
  <c r="B491" i="7"/>
  <c r="C491" i="7"/>
  <c r="B492" i="7"/>
  <c r="C492" i="7"/>
  <c r="B493" i="7"/>
  <c r="C493" i="7"/>
  <c r="B494" i="7"/>
  <c r="C494" i="7"/>
  <c r="B495" i="7"/>
  <c r="C495" i="7"/>
  <c r="B496" i="7"/>
  <c r="C496" i="7"/>
  <c r="B497" i="7"/>
  <c r="C497" i="7"/>
  <c r="B498" i="7"/>
  <c r="C498" i="7"/>
  <c r="B499" i="7"/>
  <c r="C499" i="7"/>
  <c r="B500" i="7"/>
  <c r="C500" i="7"/>
  <c r="B501" i="7"/>
  <c r="C501" i="7"/>
  <c r="B502" i="7"/>
  <c r="C502" i="7"/>
  <c r="B503" i="7"/>
  <c r="C503" i="7"/>
  <c r="B504" i="7"/>
  <c r="C504" i="7"/>
  <c r="B505" i="7"/>
  <c r="C505" i="7"/>
  <c r="B506" i="7"/>
  <c r="C506" i="7"/>
  <c r="B507" i="7"/>
  <c r="C507" i="7"/>
  <c r="B508" i="7"/>
  <c r="C508" i="7"/>
  <c r="B509" i="7"/>
  <c r="C509" i="7"/>
  <c r="B510" i="7"/>
  <c r="C510" i="7"/>
  <c r="B511" i="7"/>
  <c r="C511" i="7"/>
  <c r="B512" i="7"/>
  <c r="C512" i="7"/>
  <c r="B513" i="7"/>
  <c r="C513" i="7"/>
  <c r="B514" i="7"/>
  <c r="C514" i="7"/>
  <c r="B515" i="7"/>
  <c r="C515" i="7"/>
  <c r="B516" i="7"/>
  <c r="C516" i="7"/>
  <c r="B517" i="7"/>
  <c r="C517" i="7"/>
  <c r="B518" i="7"/>
  <c r="C518" i="7"/>
  <c r="B519" i="7"/>
  <c r="C519" i="7"/>
  <c r="B520" i="7"/>
  <c r="C520" i="7"/>
  <c r="B521" i="7"/>
  <c r="C521" i="7"/>
  <c r="B522" i="7"/>
  <c r="C522" i="7"/>
  <c r="B523" i="7"/>
  <c r="C523" i="7"/>
  <c r="B524" i="7"/>
  <c r="C524" i="7"/>
  <c r="B525" i="7"/>
  <c r="C525" i="7"/>
  <c r="B526" i="7"/>
  <c r="C526" i="7"/>
  <c r="B527" i="7"/>
  <c r="C527" i="7"/>
  <c r="B528" i="7"/>
  <c r="C528" i="7"/>
  <c r="B529" i="7"/>
  <c r="C529" i="7"/>
  <c r="B530" i="7"/>
  <c r="C530" i="7"/>
  <c r="B531" i="7"/>
  <c r="C531" i="7"/>
  <c r="B532" i="7"/>
  <c r="C532" i="7"/>
  <c r="B533" i="7"/>
  <c r="C533" i="7"/>
  <c r="B534" i="7"/>
  <c r="C534" i="7"/>
  <c r="B535" i="7"/>
  <c r="C535" i="7"/>
  <c r="B536" i="7"/>
  <c r="C536" i="7"/>
  <c r="B537" i="7"/>
  <c r="C537" i="7"/>
  <c r="B538" i="7"/>
  <c r="C538" i="7"/>
  <c r="B539" i="7"/>
  <c r="C539" i="7"/>
  <c r="B540" i="7"/>
  <c r="C540" i="7"/>
  <c r="B541" i="7"/>
  <c r="C541" i="7"/>
  <c r="B542" i="7"/>
  <c r="C542" i="7"/>
  <c r="B543" i="7"/>
  <c r="C543" i="7"/>
  <c r="B544" i="7"/>
  <c r="C544" i="7"/>
  <c r="B545" i="7"/>
  <c r="C545" i="7"/>
  <c r="B546" i="7"/>
  <c r="C546" i="7"/>
  <c r="B547" i="7"/>
  <c r="C547" i="7"/>
  <c r="B548" i="7"/>
  <c r="C548" i="7"/>
  <c r="B549" i="7"/>
  <c r="C549" i="7"/>
  <c r="B550" i="7"/>
  <c r="C550" i="7"/>
  <c r="B551" i="7"/>
  <c r="C551" i="7"/>
  <c r="B552" i="7"/>
  <c r="C552" i="7"/>
  <c r="B553" i="7"/>
  <c r="C553" i="7"/>
  <c r="B554" i="7"/>
  <c r="C554" i="7"/>
  <c r="B555" i="7"/>
  <c r="C555" i="7"/>
  <c r="B556" i="7"/>
  <c r="C556" i="7"/>
  <c r="B557" i="7"/>
  <c r="C557" i="7"/>
  <c r="B558" i="7"/>
  <c r="C558" i="7"/>
  <c r="B559" i="7"/>
  <c r="C559" i="7"/>
  <c r="B560" i="7"/>
  <c r="C560" i="7"/>
  <c r="B561" i="7"/>
  <c r="C561" i="7"/>
  <c r="B562" i="7"/>
  <c r="C562" i="7"/>
  <c r="B563" i="7"/>
  <c r="C563" i="7"/>
  <c r="B564" i="7"/>
  <c r="C564" i="7"/>
  <c r="B565" i="7"/>
  <c r="C565" i="7"/>
  <c r="B566" i="7"/>
  <c r="C566" i="7"/>
  <c r="B567" i="7"/>
  <c r="C567" i="7"/>
  <c r="B568" i="7"/>
  <c r="C568" i="7"/>
  <c r="B569" i="7"/>
  <c r="C569" i="7"/>
  <c r="B570" i="7"/>
  <c r="C570" i="7"/>
  <c r="B571" i="7"/>
  <c r="C571" i="7"/>
  <c r="B572" i="7"/>
  <c r="C572" i="7"/>
  <c r="B573" i="7"/>
  <c r="C573" i="7"/>
  <c r="B574" i="7"/>
  <c r="C574" i="7"/>
  <c r="B575" i="7"/>
  <c r="C575" i="7"/>
  <c r="B576" i="7"/>
  <c r="C576" i="7"/>
  <c r="B577" i="7"/>
  <c r="C577" i="7"/>
  <c r="B578" i="7"/>
  <c r="C578" i="7"/>
  <c r="B579" i="7"/>
  <c r="C579" i="7"/>
  <c r="B580" i="7"/>
  <c r="C580" i="7"/>
  <c r="B581" i="7"/>
  <c r="C581" i="7"/>
  <c r="B582" i="7"/>
  <c r="C582" i="7"/>
  <c r="B583" i="7"/>
  <c r="C583" i="7"/>
  <c r="B584" i="7"/>
  <c r="C584" i="7"/>
  <c r="B585" i="7"/>
  <c r="C585" i="7"/>
  <c r="B586" i="7"/>
  <c r="C586" i="7"/>
  <c r="B587" i="7"/>
  <c r="C587" i="7"/>
  <c r="B588" i="7"/>
  <c r="C588" i="7"/>
  <c r="B589" i="7"/>
  <c r="C589" i="7"/>
  <c r="B590" i="7"/>
  <c r="C590" i="7"/>
  <c r="B591" i="7"/>
  <c r="C591" i="7"/>
  <c r="B592" i="7"/>
  <c r="C592" i="7"/>
  <c r="B593" i="7"/>
  <c r="C593" i="7"/>
  <c r="B594" i="7"/>
  <c r="C594" i="7"/>
  <c r="B595" i="7"/>
  <c r="C595" i="7"/>
  <c r="B596" i="7"/>
  <c r="C596" i="7"/>
  <c r="B597" i="7"/>
  <c r="C597" i="7"/>
  <c r="B598" i="7"/>
  <c r="C598" i="7"/>
  <c r="B599" i="7"/>
  <c r="C599" i="7"/>
  <c r="B600" i="7"/>
  <c r="C600" i="7"/>
  <c r="B601" i="7"/>
  <c r="C601" i="7"/>
  <c r="B602" i="7"/>
  <c r="C602" i="7"/>
  <c r="B603" i="7"/>
  <c r="C603" i="7"/>
  <c r="B604" i="7"/>
  <c r="C604" i="7"/>
  <c r="B605" i="7"/>
  <c r="C605" i="7"/>
  <c r="B606" i="7"/>
  <c r="C606" i="7"/>
  <c r="B607" i="7"/>
  <c r="C607" i="7"/>
  <c r="B608" i="7"/>
  <c r="C608" i="7"/>
  <c r="B609" i="7"/>
  <c r="C609" i="7"/>
  <c r="B610" i="7"/>
  <c r="C610" i="7"/>
  <c r="B611" i="7"/>
  <c r="C611" i="7"/>
  <c r="B612" i="7"/>
  <c r="C612" i="7"/>
  <c r="B613" i="7"/>
  <c r="C613" i="7"/>
  <c r="B614" i="7"/>
  <c r="C614" i="7"/>
  <c r="B615" i="7"/>
  <c r="C615" i="7"/>
  <c r="B616" i="7"/>
  <c r="C616" i="7"/>
  <c r="B617" i="7"/>
  <c r="C617" i="7"/>
  <c r="B618" i="7"/>
  <c r="C618" i="7"/>
  <c r="B619" i="7"/>
  <c r="C619" i="7"/>
  <c r="B620" i="7"/>
  <c r="C620" i="7"/>
  <c r="B621" i="7"/>
  <c r="C621" i="7"/>
  <c r="B622" i="7"/>
  <c r="C622" i="7"/>
  <c r="B623" i="7"/>
  <c r="C623" i="7"/>
  <c r="B624" i="7"/>
  <c r="C624" i="7"/>
  <c r="B625" i="7"/>
  <c r="C625" i="7"/>
  <c r="B626" i="7"/>
  <c r="C626" i="7"/>
  <c r="B627" i="7"/>
  <c r="C627" i="7"/>
  <c r="B628" i="7"/>
  <c r="C628" i="7"/>
  <c r="B629" i="7"/>
  <c r="C629" i="7"/>
  <c r="B630" i="7"/>
  <c r="C630" i="7"/>
  <c r="B631" i="7"/>
  <c r="C631" i="7"/>
  <c r="B632" i="7"/>
  <c r="C632" i="7"/>
  <c r="B633" i="7"/>
  <c r="C633" i="7"/>
  <c r="B634" i="7"/>
  <c r="C634" i="7"/>
  <c r="B635" i="7"/>
  <c r="C635" i="7"/>
  <c r="B636" i="7"/>
  <c r="C636" i="7"/>
  <c r="B637" i="7"/>
  <c r="C637" i="7"/>
  <c r="B638" i="7"/>
  <c r="C638" i="7"/>
  <c r="B639" i="7"/>
  <c r="C639" i="7"/>
  <c r="B640" i="7"/>
  <c r="C640" i="7"/>
  <c r="B641" i="7"/>
  <c r="C641" i="7"/>
  <c r="B642" i="7"/>
  <c r="C642" i="7"/>
  <c r="B643" i="7"/>
  <c r="C643" i="7"/>
  <c r="B644" i="7"/>
  <c r="C644" i="7"/>
  <c r="B645" i="7"/>
  <c r="C645" i="7"/>
  <c r="B646" i="7"/>
  <c r="C646" i="7"/>
  <c r="B647" i="7"/>
  <c r="C647" i="7"/>
  <c r="B648" i="7"/>
  <c r="C648" i="7"/>
  <c r="B649" i="7"/>
  <c r="C649" i="7"/>
  <c r="B650" i="7"/>
  <c r="C650" i="7"/>
  <c r="B651" i="7"/>
  <c r="C651" i="7"/>
  <c r="B652" i="7"/>
  <c r="C652" i="7"/>
  <c r="B653" i="7"/>
  <c r="C653" i="7"/>
  <c r="B654" i="7"/>
  <c r="C654" i="7"/>
  <c r="B655" i="7"/>
  <c r="C655" i="7"/>
  <c r="B656" i="7"/>
  <c r="C656" i="7"/>
  <c r="B657" i="7"/>
  <c r="C657" i="7"/>
  <c r="B658" i="7"/>
  <c r="C658" i="7"/>
  <c r="B659" i="7"/>
  <c r="C659" i="7"/>
  <c r="B660" i="7"/>
  <c r="C660" i="7"/>
  <c r="B661" i="7"/>
  <c r="C661" i="7"/>
  <c r="B662" i="7"/>
  <c r="C662" i="7"/>
  <c r="B663" i="7"/>
  <c r="C663" i="7"/>
  <c r="B664" i="7"/>
  <c r="C664" i="7"/>
  <c r="B665" i="7"/>
  <c r="C665" i="7"/>
  <c r="B666" i="7"/>
  <c r="C666" i="7"/>
  <c r="B667" i="7"/>
  <c r="C667" i="7"/>
  <c r="B668" i="7"/>
  <c r="C668" i="7"/>
  <c r="B669" i="7"/>
  <c r="C669" i="7"/>
  <c r="B670" i="7"/>
  <c r="C670" i="7"/>
  <c r="B671" i="7"/>
  <c r="C671" i="7"/>
  <c r="B672" i="7"/>
  <c r="C672" i="7"/>
  <c r="B673" i="7"/>
  <c r="C673" i="7"/>
  <c r="B674" i="7"/>
  <c r="C674" i="7"/>
  <c r="B675" i="7"/>
  <c r="C675" i="7"/>
  <c r="B676" i="7"/>
  <c r="C676" i="7"/>
  <c r="B677" i="7"/>
  <c r="C677" i="7"/>
  <c r="B678" i="7"/>
  <c r="C678" i="7"/>
  <c r="B679" i="7"/>
  <c r="C679" i="7"/>
  <c r="B680" i="7"/>
  <c r="C680" i="7"/>
  <c r="B681" i="7"/>
  <c r="C681" i="7"/>
  <c r="B682" i="7"/>
  <c r="C682" i="7"/>
  <c r="B683" i="7"/>
  <c r="C683" i="7"/>
  <c r="B684" i="7"/>
  <c r="C684" i="7"/>
  <c r="B685" i="7"/>
  <c r="C685" i="7"/>
  <c r="B686" i="7"/>
  <c r="C686" i="7"/>
  <c r="B687" i="7"/>
  <c r="C687" i="7"/>
  <c r="B688" i="7"/>
  <c r="C688" i="7"/>
  <c r="B689" i="7"/>
  <c r="C689" i="7"/>
  <c r="B690" i="7"/>
  <c r="C690" i="7"/>
  <c r="B691" i="7"/>
  <c r="C691" i="7"/>
  <c r="B692" i="7"/>
  <c r="C692" i="7"/>
  <c r="B693" i="7"/>
  <c r="C693" i="7"/>
  <c r="B694" i="7"/>
  <c r="C694" i="7"/>
  <c r="B695" i="7"/>
  <c r="C695" i="7"/>
  <c r="B696" i="7"/>
  <c r="C696" i="7"/>
  <c r="B697" i="7"/>
  <c r="C697" i="7"/>
  <c r="B698" i="7"/>
  <c r="C698" i="7"/>
  <c r="B699" i="7"/>
  <c r="C699" i="7"/>
  <c r="B700" i="7"/>
  <c r="C700" i="7"/>
  <c r="B701" i="7"/>
  <c r="C701" i="7"/>
  <c r="B702" i="7"/>
  <c r="C702" i="7"/>
  <c r="B703" i="7"/>
  <c r="C703" i="7"/>
  <c r="B704" i="7"/>
  <c r="C704" i="7"/>
  <c r="B705" i="7"/>
  <c r="C705" i="7"/>
  <c r="B706" i="7"/>
  <c r="C706" i="7"/>
  <c r="B707" i="7"/>
  <c r="C707" i="7"/>
  <c r="B708" i="7"/>
  <c r="C708" i="7"/>
  <c r="B709" i="7"/>
  <c r="C709" i="7"/>
  <c r="B710" i="7"/>
  <c r="C710" i="7"/>
  <c r="B711" i="7"/>
  <c r="C711" i="7"/>
  <c r="B712" i="7"/>
  <c r="C712" i="7"/>
  <c r="B713" i="7"/>
  <c r="C713" i="7"/>
  <c r="B714" i="7"/>
  <c r="C714" i="7"/>
  <c r="B715" i="7"/>
  <c r="C715" i="7"/>
  <c r="B716" i="7"/>
  <c r="C716" i="7"/>
  <c r="B717" i="7"/>
  <c r="C717" i="7"/>
  <c r="B718" i="7"/>
  <c r="C718" i="7"/>
  <c r="B719" i="7"/>
  <c r="C719" i="7"/>
  <c r="B720" i="7"/>
  <c r="C720" i="7"/>
  <c r="B721" i="7"/>
  <c r="C721" i="7"/>
  <c r="B722" i="7"/>
  <c r="C722" i="7"/>
  <c r="B723" i="7"/>
  <c r="C723" i="7"/>
  <c r="B724" i="7"/>
  <c r="C724" i="7"/>
  <c r="B725" i="7"/>
  <c r="C725" i="7"/>
  <c r="B726" i="7"/>
  <c r="C726" i="7"/>
  <c r="B727" i="7"/>
  <c r="C727" i="7"/>
  <c r="B728" i="7"/>
  <c r="C728" i="7"/>
  <c r="B729" i="7"/>
  <c r="C729" i="7"/>
  <c r="B730" i="7"/>
  <c r="C730" i="7"/>
  <c r="B731" i="7"/>
  <c r="C731" i="7"/>
  <c r="B732" i="7"/>
  <c r="C732" i="7"/>
  <c r="B733" i="7"/>
  <c r="C733" i="7"/>
  <c r="B734" i="7"/>
  <c r="C734" i="7"/>
  <c r="B735" i="7"/>
  <c r="C735" i="7"/>
  <c r="B736" i="7"/>
  <c r="C736" i="7"/>
  <c r="B737" i="7"/>
  <c r="C737" i="7"/>
  <c r="B738" i="7"/>
  <c r="C738" i="7"/>
  <c r="B739" i="7"/>
  <c r="C739" i="7"/>
  <c r="B740" i="7"/>
  <c r="C740" i="7"/>
  <c r="B741" i="7"/>
  <c r="C741" i="7"/>
  <c r="B742" i="7"/>
  <c r="C742" i="7"/>
  <c r="B743" i="7"/>
  <c r="C743" i="7"/>
  <c r="B744" i="7"/>
  <c r="C744" i="7"/>
  <c r="B745" i="7"/>
  <c r="C745" i="7"/>
  <c r="B746" i="7"/>
  <c r="C746" i="7"/>
  <c r="B747" i="7"/>
  <c r="C747" i="7"/>
  <c r="B748" i="7"/>
  <c r="C748" i="7"/>
  <c r="B749" i="7"/>
  <c r="C749" i="7"/>
  <c r="B750" i="7"/>
  <c r="C750" i="7"/>
  <c r="B751" i="7"/>
  <c r="C751" i="7"/>
  <c r="B752" i="7"/>
  <c r="C752" i="7"/>
  <c r="B753" i="7"/>
  <c r="C753" i="7"/>
  <c r="B754" i="7"/>
  <c r="C754" i="7"/>
  <c r="B755" i="7"/>
  <c r="C755" i="7"/>
  <c r="B756" i="7"/>
  <c r="C756" i="7"/>
  <c r="B757" i="7"/>
  <c r="C757" i="7"/>
  <c r="B758" i="7"/>
  <c r="C758" i="7"/>
  <c r="B759" i="7"/>
  <c r="C759" i="7"/>
  <c r="B760" i="7"/>
  <c r="C760" i="7"/>
  <c r="B761" i="7"/>
  <c r="C761" i="7"/>
  <c r="B762" i="7"/>
  <c r="C762" i="7"/>
  <c r="B763" i="7"/>
  <c r="C763" i="7"/>
  <c r="B764" i="7"/>
  <c r="C764" i="7"/>
  <c r="B765" i="7"/>
  <c r="C765" i="7"/>
  <c r="B766" i="7"/>
  <c r="C766" i="7"/>
  <c r="B767" i="7"/>
  <c r="C767" i="7"/>
  <c r="B768" i="7"/>
  <c r="C768" i="7"/>
  <c r="B769" i="7"/>
  <c r="C769" i="7"/>
  <c r="B770" i="7"/>
  <c r="C770" i="7"/>
  <c r="B771" i="7"/>
  <c r="C771" i="7"/>
  <c r="B772" i="7"/>
  <c r="C772" i="7"/>
  <c r="B773" i="7"/>
  <c r="C773" i="7"/>
  <c r="B774" i="7"/>
  <c r="C774" i="7"/>
  <c r="B775" i="7"/>
  <c r="C775" i="7"/>
  <c r="B776" i="7"/>
  <c r="C776" i="7"/>
  <c r="B777" i="7"/>
  <c r="C777" i="7"/>
  <c r="B778" i="7"/>
  <c r="C778" i="7"/>
  <c r="B779" i="7"/>
  <c r="C779" i="7"/>
  <c r="B780" i="7"/>
  <c r="C780" i="7"/>
  <c r="B781" i="7"/>
  <c r="C781" i="7"/>
  <c r="B782" i="7"/>
  <c r="C782" i="7"/>
  <c r="B783" i="7"/>
  <c r="C783" i="7"/>
  <c r="B784" i="7"/>
  <c r="C784" i="7"/>
  <c r="B785" i="7"/>
  <c r="C785" i="7"/>
  <c r="B786" i="7"/>
  <c r="C786" i="7"/>
  <c r="B787" i="7"/>
  <c r="C787" i="7"/>
  <c r="B788" i="7"/>
  <c r="C788" i="7"/>
  <c r="B789" i="7"/>
  <c r="C789" i="7"/>
  <c r="B790" i="7"/>
  <c r="C790" i="7"/>
  <c r="B791" i="7"/>
  <c r="C791" i="7"/>
  <c r="B792" i="7"/>
  <c r="C792" i="7"/>
  <c r="B793" i="7"/>
  <c r="C793" i="7"/>
  <c r="B794" i="7"/>
  <c r="C794" i="7"/>
  <c r="B795" i="7"/>
  <c r="C795" i="7"/>
  <c r="B796" i="7"/>
  <c r="C796" i="7"/>
  <c r="B797" i="7"/>
  <c r="C797" i="7"/>
  <c r="B798" i="7"/>
  <c r="C798" i="7"/>
  <c r="B799" i="7"/>
  <c r="C799" i="7"/>
  <c r="B800" i="7"/>
  <c r="C800" i="7"/>
  <c r="B801" i="7"/>
  <c r="C801" i="7"/>
  <c r="B802" i="7"/>
  <c r="C802" i="7"/>
  <c r="B803" i="7"/>
  <c r="C803" i="7"/>
  <c r="B804" i="7"/>
  <c r="C804" i="7"/>
  <c r="B805" i="7"/>
  <c r="C805" i="7"/>
  <c r="B806" i="7"/>
  <c r="C806" i="7"/>
  <c r="B807" i="7"/>
  <c r="C807" i="7"/>
  <c r="B808" i="7"/>
  <c r="C808" i="7"/>
  <c r="B809" i="7"/>
  <c r="C809" i="7"/>
  <c r="B810" i="7"/>
  <c r="C810" i="7"/>
  <c r="B811" i="7"/>
  <c r="C811" i="7"/>
  <c r="B812" i="7"/>
  <c r="C812" i="7"/>
  <c r="B813" i="7"/>
  <c r="C813" i="7"/>
  <c r="B814" i="7"/>
  <c r="C814" i="7"/>
  <c r="B815" i="7"/>
  <c r="C815" i="7"/>
  <c r="B816" i="7"/>
  <c r="C816" i="7"/>
  <c r="B817" i="7"/>
  <c r="C817" i="7"/>
  <c r="B818" i="7"/>
  <c r="C818" i="7"/>
  <c r="B819" i="7"/>
  <c r="C819" i="7"/>
  <c r="B820" i="7"/>
  <c r="C820" i="7"/>
  <c r="B821" i="7"/>
  <c r="C821" i="7"/>
  <c r="B822" i="7"/>
  <c r="C822" i="7"/>
  <c r="B823" i="7"/>
  <c r="C823" i="7"/>
  <c r="B824" i="7"/>
  <c r="C824" i="7"/>
  <c r="B825" i="7"/>
  <c r="C825" i="7"/>
  <c r="B826" i="7"/>
  <c r="C826" i="7"/>
  <c r="B827" i="7"/>
  <c r="C827" i="7"/>
  <c r="B828" i="7"/>
  <c r="C828" i="7"/>
  <c r="B829" i="7"/>
  <c r="C829" i="7"/>
  <c r="B830" i="7"/>
  <c r="C830" i="7"/>
  <c r="B831" i="7"/>
  <c r="C831" i="7"/>
  <c r="B832" i="7"/>
  <c r="C832" i="7"/>
  <c r="B833" i="7"/>
  <c r="C833" i="7"/>
  <c r="B834" i="7"/>
  <c r="C834" i="7"/>
  <c r="B835" i="7"/>
  <c r="C835" i="7"/>
  <c r="B836" i="7"/>
  <c r="C836" i="7"/>
  <c r="B837" i="7"/>
  <c r="C837" i="7"/>
  <c r="B838" i="7"/>
  <c r="C838" i="7"/>
  <c r="B839" i="7"/>
  <c r="C839" i="7"/>
  <c r="B840" i="7"/>
  <c r="C840" i="7"/>
  <c r="B841" i="7"/>
  <c r="C841" i="7"/>
  <c r="B842" i="7"/>
  <c r="C842" i="7"/>
  <c r="B843" i="7"/>
  <c r="C843" i="7"/>
  <c r="B844" i="7"/>
  <c r="C844" i="7"/>
  <c r="B845" i="7"/>
  <c r="C845" i="7"/>
  <c r="B846" i="7"/>
  <c r="C846" i="7"/>
  <c r="B847" i="7"/>
  <c r="C847" i="7"/>
  <c r="B848" i="7"/>
  <c r="C848" i="7"/>
  <c r="B849" i="7"/>
  <c r="C849" i="7"/>
  <c r="B850" i="7"/>
  <c r="C850" i="7"/>
  <c r="B851" i="7"/>
  <c r="C851" i="7"/>
  <c r="B852" i="7"/>
  <c r="C852" i="7"/>
  <c r="B853" i="7"/>
  <c r="C853" i="7"/>
  <c r="B854" i="7"/>
  <c r="C854" i="7"/>
  <c r="B855" i="7"/>
  <c r="C855" i="7"/>
  <c r="B856" i="7"/>
  <c r="C856" i="7"/>
  <c r="B857" i="7"/>
  <c r="C857" i="7"/>
  <c r="B858" i="7"/>
  <c r="C858" i="7"/>
  <c r="B859" i="7"/>
  <c r="C859" i="7"/>
  <c r="B860" i="7"/>
  <c r="C860" i="7"/>
  <c r="B861" i="7"/>
  <c r="C861" i="7"/>
  <c r="B862" i="7"/>
  <c r="C862" i="7"/>
  <c r="B863" i="7"/>
  <c r="C863" i="7"/>
  <c r="B864" i="7"/>
  <c r="C864" i="7"/>
  <c r="B865" i="7"/>
  <c r="C865" i="7"/>
  <c r="B866" i="7"/>
  <c r="C866" i="7"/>
  <c r="B867" i="7"/>
  <c r="C867" i="7"/>
  <c r="B868" i="7"/>
  <c r="C868" i="7"/>
  <c r="B869" i="7"/>
  <c r="C869" i="7"/>
  <c r="B870" i="7"/>
  <c r="C870" i="7"/>
  <c r="B871" i="7"/>
  <c r="C871" i="7"/>
  <c r="B872" i="7"/>
  <c r="C872" i="7"/>
  <c r="B873" i="7"/>
  <c r="C873" i="7"/>
  <c r="B874" i="7"/>
  <c r="C874" i="7"/>
  <c r="B875" i="7"/>
  <c r="C875" i="7"/>
  <c r="B876" i="7"/>
  <c r="C876" i="7"/>
  <c r="B877" i="7"/>
  <c r="C877" i="7"/>
  <c r="B878" i="7"/>
  <c r="C878" i="7"/>
  <c r="B879" i="7"/>
  <c r="C879" i="7"/>
  <c r="B880" i="7"/>
  <c r="C880" i="7"/>
  <c r="B881" i="7"/>
  <c r="C881" i="7"/>
  <c r="B882" i="7"/>
  <c r="C882" i="7"/>
  <c r="B883" i="7"/>
  <c r="C883" i="7"/>
  <c r="B884" i="7"/>
  <c r="C884" i="7"/>
  <c r="B885" i="7"/>
  <c r="C885" i="7"/>
  <c r="B886" i="7"/>
  <c r="C886" i="7"/>
  <c r="B887" i="7"/>
  <c r="C887" i="7"/>
  <c r="B888" i="7"/>
  <c r="C888" i="7"/>
  <c r="B889" i="7"/>
  <c r="C889" i="7"/>
  <c r="B890" i="7"/>
  <c r="C890" i="7"/>
  <c r="B891" i="7"/>
  <c r="C891" i="7"/>
  <c r="B892" i="7"/>
  <c r="C892" i="7"/>
  <c r="B893" i="7"/>
  <c r="C893" i="7"/>
  <c r="B894" i="7"/>
  <c r="C894" i="7"/>
  <c r="B895" i="7"/>
  <c r="C895" i="7"/>
  <c r="B896" i="7"/>
  <c r="C896" i="7"/>
  <c r="B897" i="7"/>
  <c r="C897" i="7"/>
  <c r="B898" i="7"/>
  <c r="C898" i="7"/>
  <c r="B899" i="7"/>
  <c r="C899" i="7"/>
  <c r="B900" i="7"/>
  <c r="C900" i="7"/>
  <c r="B901" i="7"/>
  <c r="C901" i="7"/>
  <c r="B902" i="7"/>
  <c r="C902" i="7"/>
  <c r="B903" i="7"/>
  <c r="C903" i="7"/>
  <c r="B904" i="7"/>
  <c r="C904" i="7"/>
  <c r="B905" i="7"/>
  <c r="C905" i="7"/>
  <c r="B906" i="7"/>
  <c r="C906" i="7"/>
  <c r="B907" i="7"/>
  <c r="C907" i="7"/>
  <c r="B908" i="7"/>
  <c r="C908" i="7"/>
  <c r="B909" i="7"/>
  <c r="C909" i="7"/>
  <c r="B910" i="7"/>
  <c r="C910" i="7"/>
  <c r="B911" i="7"/>
  <c r="C911" i="7"/>
  <c r="B912" i="7"/>
  <c r="C912" i="7"/>
  <c r="B913" i="7"/>
  <c r="C913" i="7"/>
  <c r="B914" i="7"/>
  <c r="C914" i="7"/>
  <c r="B915" i="7"/>
  <c r="C915" i="7"/>
  <c r="B916" i="7"/>
  <c r="C916" i="7"/>
  <c r="B917" i="7"/>
  <c r="C917" i="7"/>
  <c r="B918" i="7"/>
  <c r="C918" i="7"/>
  <c r="B919" i="7"/>
  <c r="C919" i="7"/>
  <c r="B920" i="7"/>
  <c r="C920" i="7"/>
  <c r="B921" i="7"/>
  <c r="C921" i="7"/>
  <c r="B922" i="7"/>
  <c r="C922" i="7"/>
  <c r="B923" i="7"/>
  <c r="C923" i="7"/>
  <c r="B924" i="7"/>
  <c r="C924" i="7"/>
  <c r="B925" i="7"/>
  <c r="C925" i="7"/>
  <c r="B926" i="7"/>
  <c r="C926" i="7"/>
  <c r="B927" i="7"/>
  <c r="C927" i="7"/>
  <c r="B928" i="7"/>
  <c r="C928" i="7"/>
  <c r="B929" i="7"/>
  <c r="C929" i="7"/>
  <c r="B930" i="7"/>
  <c r="C930" i="7"/>
  <c r="B931" i="7"/>
  <c r="C931" i="7"/>
  <c r="B932" i="7"/>
  <c r="C932" i="7"/>
  <c r="B933" i="7"/>
  <c r="C933" i="7"/>
  <c r="B934" i="7"/>
  <c r="C934" i="7"/>
  <c r="B935" i="7"/>
  <c r="C935" i="7"/>
  <c r="B936" i="7"/>
  <c r="C936" i="7"/>
  <c r="B937" i="7"/>
  <c r="C937" i="7"/>
  <c r="B938" i="7"/>
  <c r="C938" i="7"/>
  <c r="B939" i="7"/>
  <c r="C939" i="7"/>
  <c r="B940" i="7"/>
  <c r="C940" i="7"/>
  <c r="B941" i="7"/>
  <c r="C941" i="7"/>
  <c r="B942" i="7"/>
  <c r="C942" i="7"/>
  <c r="B943" i="7"/>
  <c r="C943" i="7"/>
  <c r="B944" i="7"/>
  <c r="C944" i="7"/>
  <c r="B945" i="7"/>
  <c r="C945" i="7"/>
  <c r="B946" i="7"/>
  <c r="C946" i="7"/>
  <c r="B947" i="7"/>
  <c r="C947" i="7"/>
  <c r="B948" i="7"/>
  <c r="C948" i="7"/>
  <c r="B949" i="7"/>
  <c r="C949" i="7"/>
  <c r="B950" i="7"/>
  <c r="C950" i="7"/>
  <c r="B951" i="7"/>
  <c r="C951" i="7"/>
  <c r="B952" i="7"/>
  <c r="C952" i="7"/>
  <c r="B953" i="7"/>
  <c r="C953" i="7"/>
  <c r="B954" i="7"/>
  <c r="C954" i="7"/>
  <c r="B955" i="7"/>
  <c r="C955" i="7"/>
  <c r="B956" i="7"/>
  <c r="C956" i="7"/>
  <c r="B957" i="7"/>
  <c r="C957" i="7"/>
  <c r="B958" i="7"/>
  <c r="C958" i="7"/>
  <c r="B959" i="7"/>
  <c r="C959" i="7"/>
  <c r="B960" i="7"/>
  <c r="C960" i="7"/>
  <c r="B961" i="7"/>
  <c r="C961" i="7"/>
  <c r="B962" i="7"/>
  <c r="C962" i="7"/>
  <c r="B963" i="7"/>
  <c r="C963" i="7"/>
  <c r="B964" i="7"/>
  <c r="C964" i="7"/>
  <c r="B965" i="7"/>
  <c r="C965" i="7"/>
  <c r="B966" i="7"/>
  <c r="C966" i="7"/>
  <c r="B967" i="7"/>
  <c r="C967" i="7"/>
  <c r="B968" i="7"/>
  <c r="C968" i="7"/>
  <c r="B969" i="7"/>
  <c r="C969" i="7"/>
  <c r="B970" i="7"/>
  <c r="C970" i="7"/>
  <c r="B971" i="7"/>
  <c r="C971" i="7"/>
  <c r="B972" i="7"/>
  <c r="C972" i="7"/>
  <c r="B973" i="7"/>
  <c r="C973" i="7"/>
  <c r="B974" i="7"/>
  <c r="C974" i="7"/>
  <c r="B975" i="7"/>
  <c r="C975" i="7"/>
  <c r="B976" i="7"/>
  <c r="C976" i="7"/>
  <c r="B977" i="7"/>
  <c r="C977" i="7"/>
  <c r="B978" i="7"/>
  <c r="C978" i="7"/>
  <c r="B979" i="7"/>
  <c r="C979" i="7"/>
  <c r="B980" i="7"/>
  <c r="C980" i="7"/>
  <c r="B981" i="7"/>
  <c r="C981" i="7"/>
  <c r="B982" i="7"/>
  <c r="C982" i="7"/>
  <c r="B983" i="7"/>
  <c r="C983" i="7"/>
  <c r="B984" i="7"/>
  <c r="C984" i="7"/>
  <c r="B985" i="7"/>
  <c r="C985" i="7"/>
  <c r="B986" i="7"/>
  <c r="C986" i="7"/>
  <c r="B987" i="7"/>
  <c r="C987" i="7"/>
  <c r="B988" i="7"/>
  <c r="C988" i="7"/>
  <c r="B989" i="7"/>
  <c r="C989" i="7"/>
  <c r="B990" i="7"/>
  <c r="C990" i="7"/>
  <c r="B991" i="7"/>
  <c r="C991" i="7"/>
  <c r="B992" i="7"/>
  <c r="C992" i="7"/>
  <c r="B993" i="7"/>
  <c r="C993" i="7"/>
  <c r="B994" i="7"/>
  <c r="C994" i="7"/>
  <c r="B995" i="7"/>
  <c r="C995" i="7"/>
  <c r="B996" i="7"/>
  <c r="C996" i="7"/>
  <c r="B997" i="7"/>
  <c r="C997" i="7"/>
  <c r="B998" i="7"/>
  <c r="C998" i="7"/>
  <c r="B999" i="7"/>
  <c r="C999" i="7"/>
  <c r="B1000" i="7"/>
  <c r="C1000" i="7"/>
  <c r="B1001" i="7"/>
  <c r="C1001" i="7"/>
  <c r="B1002" i="7"/>
  <c r="C1002" i="7"/>
  <c r="B1003" i="7"/>
  <c r="C1003" i="7"/>
  <c r="B1004" i="7"/>
  <c r="C1004" i="7"/>
  <c r="B1005" i="7"/>
  <c r="C1005" i="7"/>
  <c r="B1006" i="7"/>
  <c r="C1006" i="7"/>
  <c r="B1007" i="7"/>
  <c r="C1007" i="7"/>
  <c r="B1008" i="7"/>
  <c r="C1008" i="7"/>
  <c r="B1009" i="7"/>
  <c r="C1009" i="7"/>
  <c r="B1010" i="7"/>
  <c r="C1010" i="7"/>
  <c r="B1011" i="7"/>
  <c r="C1011" i="7"/>
  <c r="B1012" i="7"/>
  <c r="C1012" i="7"/>
  <c r="B1013" i="7"/>
  <c r="C1013" i="7"/>
  <c r="B15" i="7"/>
  <c r="C15" i="7"/>
  <c r="B14" i="7"/>
  <c r="C14" i="7"/>
  <c r="B6" i="5"/>
  <c r="B8" i="5" s="1"/>
  <c r="B18" i="5" s="1"/>
  <c r="B20" i="5" s="1"/>
  <c r="C19" i="5" s="1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C16" i="5"/>
  <c r="B16" i="5"/>
  <c r="B15" i="5"/>
  <c r="B19" i="5"/>
  <c r="B12" i="5"/>
  <c r="B11" i="5"/>
  <c r="B7" i="5"/>
  <c r="B5" i="5"/>
  <c r="B4" i="5"/>
  <c r="B15" i="4"/>
  <c r="B16" i="4" s="1"/>
  <c r="B11" i="4"/>
  <c r="B12" i="4" s="1"/>
  <c r="B18" i="4" s="1"/>
  <c r="B5" i="4"/>
  <c r="B4" i="4"/>
  <c r="B2" i="3"/>
  <c r="B5" i="3" s="1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C12" i="2"/>
  <c r="B17" i="2"/>
  <c r="B14" i="2"/>
  <c r="B13" i="2"/>
  <c r="B12" i="2"/>
  <c r="B9" i="2"/>
  <c r="B8" i="2"/>
  <c r="B7" i="2"/>
  <c r="B6" i="1"/>
  <c r="B3" i="1"/>
  <c r="D302" i="7" l="1"/>
  <c r="E302" i="7" s="1"/>
  <c r="D286" i="7"/>
  <c r="E286" i="7" s="1"/>
  <c r="D284" i="7"/>
  <c r="E284" i="7" s="1"/>
  <c r="D282" i="7"/>
  <c r="E282" i="7" s="1"/>
  <c r="D276" i="7"/>
  <c r="E276" i="7" s="1"/>
  <c r="D274" i="7"/>
  <c r="E274" i="7" s="1"/>
  <c r="D272" i="7"/>
  <c r="E272" i="7" s="1"/>
  <c r="D270" i="7"/>
  <c r="E270" i="7" s="1"/>
  <c r="D268" i="7"/>
  <c r="E268" i="7" s="1"/>
  <c r="D266" i="7"/>
  <c r="E266" i="7" s="1"/>
  <c r="D260" i="7"/>
  <c r="E260" i="7" s="1"/>
  <c r="D258" i="7"/>
  <c r="E258" i="7" s="1"/>
  <c r="D256" i="7"/>
  <c r="E256" i="7" s="1"/>
  <c r="D254" i="7"/>
  <c r="E254" i="7" s="1"/>
  <c r="D252" i="7"/>
  <c r="E252" i="7" s="1"/>
  <c r="D250" i="7"/>
  <c r="E250" i="7" s="1"/>
  <c r="D234" i="7"/>
  <c r="E234" i="7" s="1"/>
  <c r="D232" i="7"/>
  <c r="E232" i="7" s="1"/>
  <c r="D230" i="7"/>
  <c r="E230" i="7" s="1"/>
  <c r="D226" i="7"/>
  <c r="E226" i="7" s="1"/>
  <c r="D224" i="7"/>
  <c r="E224" i="7" s="1"/>
  <c r="D222" i="7"/>
  <c r="E222" i="7" s="1"/>
  <c r="D218" i="7"/>
  <c r="E218" i="7" s="1"/>
  <c r="D174" i="7"/>
  <c r="E174" i="7" s="1"/>
  <c r="D142" i="7"/>
  <c r="E142" i="7" s="1"/>
  <c r="D140" i="7"/>
  <c r="E140" i="7" s="1"/>
  <c r="D138" i="7"/>
  <c r="E138" i="7" s="1"/>
  <c r="D136" i="7"/>
  <c r="E136" i="7" s="1"/>
  <c r="D132" i="7"/>
  <c r="E132" i="7" s="1"/>
  <c r="D124" i="7"/>
  <c r="E124" i="7" s="1"/>
  <c r="D122" i="7"/>
  <c r="E122" i="7" s="1"/>
  <c r="D112" i="7"/>
  <c r="E112" i="7" s="1"/>
  <c r="D104" i="7"/>
  <c r="E104" i="7" s="1"/>
  <c r="D100" i="7"/>
  <c r="E100" i="7" s="1"/>
  <c r="D98" i="7"/>
  <c r="E98" i="7" s="1"/>
  <c r="D96" i="7"/>
  <c r="E96" i="7" s="1"/>
  <c r="D94" i="7"/>
  <c r="E94" i="7" s="1"/>
  <c r="D92" i="7"/>
  <c r="E92" i="7" s="1"/>
  <c r="D90" i="7"/>
  <c r="E90" i="7" s="1"/>
  <c r="D88" i="7"/>
  <c r="E88" i="7" s="1"/>
  <c r="D86" i="7"/>
  <c r="E86" i="7" s="1"/>
  <c r="D84" i="7"/>
  <c r="E84" i="7" s="1"/>
  <c r="D82" i="7"/>
  <c r="E82" i="7" s="1"/>
  <c r="D80" i="7"/>
  <c r="E80" i="7" s="1"/>
  <c r="D78" i="7"/>
  <c r="E78" i="7" s="1"/>
  <c r="D76" i="7"/>
  <c r="E76" i="7" s="1"/>
  <c r="D74" i="7"/>
  <c r="E74" i="7" s="1"/>
  <c r="D72" i="7"/>
  <c r="E72" i="7" s="1"/>
  <c r="D70" i="7"/>
  <c r="E70" i="7" s="1"/>
  <c r="D68" i="7"/>
  <c r="E68" i="7" s="1"/>
  <c r="D66" i="7"/>
  <c r="E66" i="7" s="1"/>
  <c r="D64" i="7"/>
  <c r="E64" i="7" s="1"/>
  <c r="D62" i="7"/>
  <c r="E62" i="7" s="1"/>
  <c r="D60" i="7"/>
  <c r="E60" i="7" s="1"/>
  <c r="D58" i="7"/>
  <c r="E58" i="7" s="1"/>
  <c r="D56" i="7"/>
  <c r="E56" i="7" s="1"/>
  <c r="D54" i="7"/>
  <c r="E54" i="7" s="1"/>
  <c r="D52" i="7"/>
  <c r="E52" i="7" s="1"/>
  <c r="D50" i="7"/>
  <c r="E50" i="7" s="1"/>
  <c r="D48" i="7"/>
  <c r="E48" i="7" s="1"/>
  <c r="D46" i="7"/>
  <c r="E46" i="7" s="1"/>
  <c r="D44" i="7"/>
  <c r="E44" i="7" s="1"/>
  <c r="D42" i="7"/>
  <c r="E42" i="7" s="1"/>
  <c r="D40" i="7"/>
  <c r="E40" i="7" s="1"/>
  <c r="D38" i="7"/>
  <c r="E38" i="7" s="1"/>
  <c r="D36" i="7"/>
  <c r="E36" i="7" s="1"/>
  <c r="D34" i="7"/>
  <c r="E34" i="7" s="1"/>
  <c r="D32" i="7"/>
  <c r="E32" i="7" s="1"/>
  <c r="D30" i="7"/>
  <c r="E30" i="7" s="1"/>
  <c r="D28" i="7"/>
  <c r="E28" i="7" s="1"/>
  <c r="D26" i="7"/>
  <c r="E26" i="7" s="1"/>
  <c r="D24" i="7"/>
  <c r="E24" i="7" s="1"/>
  <c r="D22" i="7"/>
  <c r="E22" i="7" s="1"/>
  <c r="D20" i="7"/>
  <c r="E20" i="7" s="1"/>
  <c r="D18" i="7"/>
  <c r="E18" i="7" s="1"/>
  <c r="D16" i="7"/>
  <c r="E16" i="7" s="1"/>
  <c r="D983" i="7"/>
  <c r="E983" i="7" s="1"/>
  <c r="D979" i="7"/>
  <c r="E979" i="7" s="1"/>
  <c r="D967" i="7"/>
  <c r="E967" i="7" s="1"/>
  <c r="D965" i="7"/>
  <c r="E965" i="7" s="1"/>
  <c r="D963" i="7"/>
  <c r="E963" i="7" s="1"/>
  <c r="D611" i="7"/>
  <c r="E611" i="7" s="1"/>
  <c r="D579" i="7"/>
  <c r="E579" i="7" s="1"/>
  <c r="D577" i="7"/>
  <c r="E577" i="7" s="1"/>
  <c r="D575" i="7"/>
  <c r="E575" i="7" s="1"/>
  <c r="D573" i="7"/>
  <c r="E573" i="7" s="1"/>
  <c r="D571" i="7"/>
  <c r="E571" i="7" s="1"/>
  <c r="D569" i="7"/>
  <c r="E569" i="7" s="1"/>
  <c r="D567" i="7"/>
  <c r="E567" i="7" s="1"/>
  <c r="D565" i="7"/>
  <c r="E565" i="7" s="1"/>
  <c r="D563" i="7"/>
  <c r="E563" i="7" s="1"/>
  <c r="D561" i="7"/>
  <c r="E561" i="7" s="1"/>
  <c r="D559" i="7"/>
  <c r="E559" i="7" s="1"/>
  <c r="D557" i="7"/>
  <c r="E557" i="7" s="1"/>
  <c r="D555" i="7"/>
  <c r="E555" i="7" s="1"/>
  <c r="D553" i="7"/>
  <c r="E553" i="7" s="1"/>
  <c r="D551" i="7"/>
  <c r="E551" i="7" s="1"/>
  <c r="D549" i="7"/>
  <c r="E549" i="7" s="1"/>
  <c r="D547" i="7"/>
  <c r="E547" i="7" s="1"/>
  <c r="D545" i="7"/>
  <c r="E545" i="7" s="1"/>
  <c r="D543" i="7"/>
  <c r="E543" i="7" s="1"/>
  <c r="D541" i="7"/>
  <c r="E541" i="7" s="1"/>
  <c r="D539" i="7"/>
  <c r="E539" i="7" s="1"/>
  <c r="D537" i="7"/>
  <c r="E537" i="7" s="1"/>
  <c r="D535" i="7"/>
  <c r="E535" i="7" s="1"/>
  <c r="D533" i="7"/>
  <c r="E533" i="7" s="1"/>
  <c r="D531" i="7"/>
  <c r="E531" i="7" s="1"/>
  <c r="D529" i="7"/>
  <c r="E529" i="7" s="1"/>
  <c r="D527" i="7"/>
  <c r="E527" i="7" s="1"/>
  <c r="D525" i="7"/>
  <c r="E525" i="7" s="1"/>
  <c r="D523" i="7"/>
  <c r="E523" i="7" s="1"/>
  <c r="D521" i="7"/>
  <c r="E521" i="7" s="1"/>
  <c r="D519" i="7"/>
  <c r="E519" i="7" s="1"/>
  <c r="D517" i="7"/>
  <c r="E517" i="7" s="1"/>
  <c r="D493" i="7"/>
  <c r="E493" i="7" s="1"/>
  <c r="D469" i="7"/>
  <c r="E469" i="7" s="1"/>
  <c r="D465" i="7"/>
  <c r="E465" i="7" s="1"/>
  <c r="D325" i="7"/>
  <c r="E325" i="7" s="1"/>
  <c r="D323" i="7"/>
  <c r="E323" i="7" s="1"/>
  <c r="D321" i="7"/>
  <c r="E321" i="7" s="1"/>
  <c r="D319" i="7"/>
  <c r="E319" i="7" s="1"/>
  <c r="D317" i="7"/>
  <c r="E317" i="7" s="1"/>
  <c r="D315" i="7"/>
  <c r="E315" i="7" s="1"/>
  <c r="D309" i="7"/>
  <c r="E309" i="7" s="1"/>
  <c r="D307" i="7"/>
  <c r="E307" i="7" s="1"/>
  <c r="D305" i="7"/>
  <c r="E305" i="7" s="1"/>
  <c r="D303" i="7"/>
  <c r="E303" i="7" s="1"/>
  <c r="D981" i="7"/>
  <c r="E981" i="7" s="1"/>
  <c r="D984" i="7"/>
  <c r="E984" i="7" s="1"/>
  <c r="D880" i="7"/>
  <c r="E880" i="7" s="1"/>
  <c r="D864" i="7"/>
  <c r="E864" i="7" s="1"/>
  <c r="D862" i="7"/>
  <c r="E862" i="7" s="1"/>
  <c r="D852" i="7"/>
  <c r="E852" i="7" s="1"/>
  <c r="D848" i="7"/>
  <c r="E848" i="7" s="1"/>
  <c r="D846" i="7"/>
  <c r="E846" i="7" s="1"/>
  <c r="D844" i="7"/>
  <c r="E844" i="7" s="1"/>
  <c r="D782" i="7"/>
  <c r="E782" i="7" s="1"/>
  <c r="D772" i="7"/>
  <c r="E772" i="7" s="1"/>
  <c r="D770" i="7"/>
  <c r="E770" i="7" s="1"/>
  <c r="D768" i="7"/>
  <c r="E768" i="7" s="1"/>
  <c r="D748" i="7"/>
  <c r="E748" i="7" s="1"/>
  <c r="D746" i="7"/>
  <c r="E746" i="7" s="1"/>
  <c r="D744" i="7"/>
  <c r="E744" i="7" s="1"/>
  <c r="D732" i="7"/>
  <c r="E732" i="7" s="1"/>
  <c r="D706" i="7"/>
  <c r="E706" i="7" s="1"/>
  <c r="D700" i="7"/>
  <c r="E700" i="7" s="1"/>
  <c r="D692" i="7"/>
  <c r="E692" i="7" s="1"/>
  <c r="D494" i="7"/>
  <c r="E494" i="7" s="1"/>
  <c r="D478" i="7"/>
  <c r="E478" i="7" s="1"/>
  <c r="D466" i="7"/>
  <c r="E466" i="7" s="1"/>
  <c r="D952" i="7"/>
  <c r="E952" i="7" s="1"/>
  <c r="D950" i="7"/>
  <c r="E950" i="7" s="1"/>
  <c r="D948" i="7"/>
  <c r="E948" i="7" s="1"/>
  <c r="D946" i="7"/>
  <c r="E946" i="7" s="1"/>
  <c r="D944" i="7"/>
  <c r="E944" i="7" s="1"/>
  <c r="D936" i="7"/>
  <c r="E936" i="7" s="1"/>
  <c r="D934" i="7"/>
  <c r="E934" i="7" s="1"/>
  <c r="D932" i="7"/>
  <c r="E932" i="7" s="1"/>
  <c r="D930" i="7"/>
  <c r="E930" i="7" s="1"/>
  <c r="D924" i="7"/>
  <c r="E924" i="7" s="1"/>
  <c r="D922" i="7"/>
  <c r="E922" i="7" s="1"/>
  <c r="D912" i="7"/>
  <c r="E912" i="7" s="1"/>
  <c r="D906" i="7"/>
  <c r="E906" i="7" s="1"/>
  <c r="D904" i="7"/>
  <c r="E904" i="7" s="1"/>
  <c r="D902" i="7"/>
  <c r="E902" i="7" s="1"/>
  <c r="D898" i="7"/>
  <c r="E898" i="7" s="1"/>
  <c r="D896" i="7"/>
  <c r="E896" i="7" s="1"/>
  <c r="D299" i="7"/>
  <c r="E299" i="7" s="1"/>
  <c r="D291" i="7"/>
  <c r="E291" i="7" s="1"/>
  <c r="D287" i="7"/>
  <c r="E287" i="7" s="1"/>
  <c r="D201" i="7"/>
  <c r="E201" i="7" s="1"/>
  <c r="D199" i="7"/>
  <c r="E199" i="7" s="1"/>
  <c r="D185" i="7"/>
  <c r="E185" i="7" s="1"/>
  <c r="D177" i="7"/>
  <c r="E177" i="7" s="1"/>
  <c r="D893" i="7"/>
  <c r="E893" i="7" s="1"/>
  <c r="D651" i="7"/>
  <c r="E651" i="7" s="1"/>
  <c r="D631" i="7"/>
  <c r="E631" i="7" s="1"/>
  <c r="D1012" i="7"/>
  <c r="E1012" i="7" s="1"/>
  <c r="D1010" i="7"/>
  <c r="E1010" i="7" s="1"/>
  <c r="D1008" i="7"/>
  <c r="E1008" i="7" s="1"/>
  <c r="D1006" i="7"/>
  <c r="E1006" i="7" s="1"/>
  <c r="D1004" i="7"/>
  <c r="E1004" i="7" s="1"/>
  <c r="D1002" i="7"/>
  <c r="E1002" i="7" s="1"/>
  <c r="D992" i="7"/>
  <c r="E992" i="7" s="1"/>
  <c r="D960" i="7"/>
  <c r="E960" i="7" s="1"/>
  <c r="D873" i="7"/>
  <c r="E873" i="7" s="1"/>
  <c r="D869" i="7"/>
  <c r="E869" i="7" s="1"/>
  <c r="D861" i="7"/>
  <c r="E861" i="7" s="1"/>
  <c r="D843" i="7"/>
  <c r="E843" i="7" s="1"/>
  <c r="D787" i="7"/>
  <c r="E787" i="7" s="1"/>
  <c r="D779" i="7"/>
  <c r="E779" i="7" s="1"/>
  <c r="D763" i="7"/>
  <c r="E763" i="7" s="1"/>
  <c r="D759" i="7"/>
  <c r="E759" i="7" s="1"/>
  <c r="D755" i="7"/>
  <c r="E755" i="7" s="1"/>
  <c r="D751" i="7"/>
  <c r="E751" i="7" s="1"/>
  <c r="D739" i="7"/>
  <c r="E739" i="7" s="1"/>
  <c r="D735" i="7"/>
  <c r="E735" i="7" s="1"/>
  <c r="D695" i="7"/>
  <c r="E695" i="7" s="1"/>
  <c r="D599" i="7"/>
  <c r="E599" i="7" s="1"/>
  <c r="D462" i="7"/>
  <c r="E462" i="7" s="1"/>
  <c r="D450" i="7"/>
  <c r="E450" i="7" s="1"/>
  <c r="D430" i="7"/>
  <c r="E430" i="7" s="1"/>
  <c r="D428" i="7"/>
  <c r="E428" i="7" s="1"/>
  <c r="D426" i="7"/>
  <c r="E426" i="7" s="1"/>
  <c r="D424" i="7"/>
  <c r="E424" i="7" s="1"/>
  <c r="D414" i="7"/>
  <c r="E414" i="7" s="1"/>
  <c r="D412" i="7"/>
  <c r="E412" i="7" s="1"/>
  <c r="D410" i="7"/>
  <c r="E410" i="7" s="1"/>
  <c r="D346" i="7"/>
  <c r="E346" i="7" s="1"/>
  <c r="D342" i="7"/>
  <c r="E342" i="7" s="1"/>
  <c r="D338" i="7"/>
  <c r="E338" i="7" s="1"/>
  <c r="D330" i="7"/>
  <c r="E330" i="7" s="1"/>
  <c r="D326" i="7"/>
  <c r="E326" i="7" s="1"/>
  <c r="D290" i="7"/>
  <c r="E290" i="7" s="1"/>
  <c r="D206" i="7"/>
  <c r="E206" i="7" s="1"/>
  <c r="D182" i="7"/>
  <c r="E182" i="7" s="1"/>
  <c r="D176" i="7"/>
  <c r="E176" i="7" s="1"/>
  <c r="D169" i="7"/>
  <c r="E169" i="7" s="1"/>
  <c r="D153" i="7"/>
  <c r="E153" i="7" s="1"/>
  <c r="D145" i="7"/>
  <c r="E145" i="7" s="1"/>
  <c r="D443" i="7"/>
  <c r="E443" i="7" s="1"/>
  <c r="D439" i="7"/>
  <c r="E439" i="7" s="1"/>
  <c r="D341" i="7"/>
  <c r="E341" i="7" s="1"/>
  <c r="D329" i="7"/>
  <c r="E329" i="7" s="1"/>
  <c r="D150" i="7"/>
  <c r="E150" i="7" s="1"/>
  <c r="D144" i="7"/>
  <c r="E144" i="7" s="1"/>
  <c r="D999" i="7"/>
  <c r="E999" i="7" s="1"/>
  <c r="D997" i="7"/>
  <c r="E997" i="7" s="1"/>
  <c r="D995" i="7"/>
  <c r="E995" i="7" s="1"/>
  <c r="D937" i="7"/>
  <c r="E937" i="7" s="1"/>
  <c r="D915" i="7"/>
  <c r="E915" i="7" s="1"/>
  <c r="D913" i="7"/>
  <c r="E913" i="7" s="1"/>
  <c r="D907" i="7"/>
  <c r="E907" i="7" s="1"/>
  <c r="D690" i="7"/>
  <c r="E690" i="7" s="1"/>
  <c r="D616" i="7"/>
  <c r="E616" i="7" s="1"/>
  <c r="D612" i="7"/>
  <c r="E612" i="7" s="1"/>
  <c r="D592" i="7"/>
  <c r="E592" i="7" s="1"/>
  <c r="D498" i="7"/>
  <c r="E498" i="7" s="1"/>
  <c r="D271" i="7"/>
  <c r="E271" i="7" s="1"/>
  <c r="D225" i="7"/>
  <c r="E225" i="7" s="1"/>
  <c r="D822" i="7"/>
  <c r="E822" i="7" s="1"/>
  <c r="D814" i="7"/>
  <c r="E814" i="7" s="1"/>
  <c r="D806" i="7"/>
  <c r="E806" i="7" s="1"/>
  <c r="D461" i="7"/>
  <c r="E461" i="7" s="1"/>
  <c r="D453" i="7"/>
  <c r="E453" i="7" s="1"/>
  <c r="D429" i="7"/>
  <c r="E429" i="7" s="1"/>
  <c r="D421" i="7"/>
  <c r="E421" i="7" s="1"/>
  <c r="D417" i="7"/>
  <c r="E417" i="7" s="1"/>
  <c r="D322" i="7"/>
  <c r="E322" i="7" s="1"/>
  <c r="D314" i="7"/>
  <c r="E314" i="7" s="1"/>
  <c r="D310" i="7"/>
  <c r="E310" i="7" s="1"/>
  <c r="D281" i="7"/>
  <c r="E281" i="7" s="1"/>
  <c r="D277" i="7"/>
  <c r="E277" i="7" s="1"/>
  <c r="D257" i="7"/>
  <c r="E257" i="7" s="1"/>
  <c r="D249" i="7"/>
  <c r="E249" i="7" s="1"/>
  <c r="D245" i="7"/>
  <c r="E245" i="7" s="1"/>
  <c r="D241" i="7"/>
  <c r="E241" i="7" s="1"/>
  <c r="D204" i="7"/>
  <c r="E204" i="7" s="1"/>
  <c r="D202" i="7"/>
  <c r="E202" i="7" s="1"/>
  <c r="D198" i="7"/>
  <c r="E198" i="7" s="1"/>
  <c r="D196" i="7"/>
  <c r="E196" i="7" s="1"/>
  <c r="D194" i="7"/>
  <c r="E194" i="7" s="1"/>
  <c r="D190" i="7"/>
  <c r="E190" i="7" s="1"/>
  <c r="D186" i="7"/>
  <c r="E186" i="7" s="1"/>
  <c r="D829" i="7"/>
  <c r="E829" i="7" s="1"/>
  <c r="D819" i="7"/>
  <c r="E819" i="7" s="1"/>
  <c r="D817" i="7"/>
  <c r="E817" i="7" s="1"/>
  <c r="D809" i="7"/>
  <c r="E809" i="7" s="1"/>
  <c r="D799" i="7"/>
  <c r="E799" i="7" s="1"/>
  <c r="D797" i="7"/>
  <c r="E797" i="7" s="1"/>
  <c r="D789" i="7"/>
  <c r="E789" i="7" s="1"/>
  <c r="D722" i="7"/>
  <c r="E722" i="7" s="1"/>
  <c r="D714" i="7"/>
  <c r="E714" i="7" s="1"/>
  <c r="D644" i="7"/>
  <c r="E644" i="7" s="1"/>
  <c r="D503" i="7"/>
  <c r="E503" i="7" s="1"/>
  <c r="D495" i="7"/>
  <c r="E495" i="7" s="1"/>
  <c r="D492" i="7"/>
  <c r="E492" i="7" s="1"/>
  <c r="D486" i="7"/>
  <c r="E486" i="7" s="1"/>
  <c r="D482" i="7"/>
  <c r="E482" i="7" s="1"/>
  <c r="D434" i="7"/>
  <c r="E434" i="7" s="1"/>
  <c r="D418" i="7"/>
  <c r="E418" i="7" s="1"/>
  <c r="D351" i="7"/>
  <c r="E351" i="7" s="1"/>
  <c r="D349" i="7"/>
  <c r="E349" i="7" s="1"/>
  <c r="D347" i="7"/>
  <c r="E347" i="7" s="1"/>
  <c r="D300" i="7"/>
  <c r="E300" i="7" s="1"/>
  <c r="D298" i="7"/>
  <c r="E298" i="7" s="1"/>
  <c r="D296" i="7"/>
  <c r="E296" i="7" s="1"/>
  <c r="D294" i="7"/>
  <c r="E294" i="7" s="1"/>
  <c r="D292" i="7"/>
  <c r="E292" i="7" s="1"/>
  <c r="D244" i="7"/>
  <c r="E244" i="7" s="1"/>
  <c r="D236" i="7"/>
  <c r="E236" i="7" s="1"/>
  <c r="D217" i="7"/>
  <c r="E217" i="7" s="1"/>
  <c r="D215" i="7"/>
  <c r="E215" i="7" s="1"/>
  <c r="D209" i="7"/>
  <c r="E209" i="7" s="1"/>
  <c r="D207" i="7"/>
  <c r="E207" i="7" s="1"/>
  <c r="D197" i="7"/>
  <c r="E197" i="7" s="1"/>
  <c r="D195" i="7"/>
  <c r="E195" i="7" s="1"/>
  <c r="D170" i="7"/>
  <c r="E170" i="7" s="1"/>
  <c r="D166" i="7"/>
  <c r="E166" i="7" s="1"/>
  <c r="D162" i="7"/>
  <c r="E162" i="7" s="1"/>
  <c r="D158" i="7"/>
  <c r="E158" i="7" s="1"/>
  <c r="D154" i="7"/>
  <c r="E154" i="7" s="1"/>
  <c r="D890" i="7"/>
  <c r="E890" i="7" s="1"/>
  <c r="D884" i="7"/>
  <c r="E884" i="7" s="1"/>
  <c r="D731" i="7"/>
  <c r="E731" i="7" s="1"/>
  <c r="D725" i="7"/>
  <c r="E725" i="7" s="1"/>
  <c r="D719" i="7"/>
  <c r="E719" i="7" s="1"/>
  <c r="D717" i="7"/>
  <c r="E717" i="7" s="1"/>
  <c r="D709" i="7"/>
  <c r="E709" i="7" s="1"/>
  <c r="D604" i="7"/>
  <c r="E604" i="7" s="1"/>
  <c r="D297" i="7"/>
  <c r="E297" i="7" s="1"/>
  <c r="D214" i="7"/>
  <c r="E214" i="7" s="1"/>
  <c r="D165" i="7"/>
  <c r="E165" i="7" s="1"/>
  <c r="D163" i="7"/>
  <c r="E163" i="7" s="1"/>
  <c r="D998" i="7"/>
  <c r="E998" i="7" s="1"/>
  <c r="D994" i="7"/>
  <c r="E994" i="7" s="1"/>
  <c r="D949" i="7"/>
  <c r="E949" i="7" s="1"/>
  <c r="D1013" i="7"/>
  <c r="E1013" i="7" s="1"/>
  <c r="D1011" i="7"/>
  <c r="E1011" i="7" s="1"/>
  <c r="D1009" i="7"/>
  <c r="E1009" i="7" s="1"/>
  <c r="D1007" i="7"/>
  <c r="E1007" i="7" s="1"/>
  <c r="D1005" i="7"/>
  <c r="E1005" i="7" s="1"/>
  <c r="D1003" i="7"/>
  <c r="E1003" i="7" s="1"/>
  <c r="D1001" i="7"/>
  <c r="E1001" i="7" s="1"/>
  <c r="D985" i="7"/>
  <c r="E985" i="7" s="1"/>
  <c r="D982" i="7"/>
  <c r="E982" i="7" s="1"/>
  <c r="D980" i="7"/>
  <c r="E980" i="7" s="1"/>
  <c r="D978" i="7"/>
  <c r="E978" i="7" s="1"/>
  <c r="D976" i="7"/>
  <c r="E976" i="7" s="1"/>
  <c r="D968" i="7"/>
  <c r="E968" i="7" s="1"/>
  <c r="D966" i="7"/>
  <c r="E966" i="7" s="1"/>
  <c r="D964" i="7"/>
  <c r="E964" i="7" s="1"/>
  <c r="D962" i="7"/>
  <c r="E962" i="7" s="1"/>
  <c r="D928" i="7"/>
  <c r="E928" i="7" s="1"/>
  <c r="D926" i="7"/>
  <c r="E926" i="7" s="1"/>
  <c r="D916" i="7"/>
  <c r="E916" i="7" s="1"/>
  <c r="D905" i="7"/>
  <c r="E905" i="7" s="1"/>
  <c r="D901" i="7"/>
  <c r="E901" i="7" s="1"/>
  <c r="D883" i="7"/>
  <c r="E883" i="7" s="1"/>
  <c r="D881" i="7"/>
  <c r="E881" i="7" s="1"/>
  <c r="D874" i="7"/>
  <c r="E874" i="7" s="1"/>
  <c r="D872" i="7"/>
  <c r="E872" i="7" s="1"/>
  <c r="D870" i="7"/>
  <c r="E870" i="7" s="1"/>
  <c r="D866" i="7"/>
  <c r="E866" i="7" s="1"/>
  <c r="D860" i="7"/>
  <c r="E860" i="7" s="1"/>
  <c r="D858" i="7"/>
  <c r="E858" i="7" s="1"/>
  <c r="D856" i="7"/>
  <c r="E856" i="7" s="1"/>
  <c r="D838" i="7"/>
  <c r="E838" i="7" s="1"/>
  <c r="D834" i="7"/>
  <c r="E834" i="7" s="1"/>
  <c r="D832" i="7"/>
  <c r="E832" i="7" s="1"/>
  <c r="D828" i="7"/>
  <c r="E828" i="7" s="1"/>
  <c r="D804" i="7"/>
  <c r="E804" i="7" s="1"/>
  <c r="D802" i="7"/>
  <c r="E802" i="7" s="1"/>
  <c r="D800" i="7"/>
  <c r="E800" i="7" s="1"/>
  <c r="D796" i="7"/>
  <c r="E796" i="7" s="1"/>
  <c r="D794" i="7"/>
  <c r="E794" i="7" s="1"/>
  <c r="D792" i="7"/>
  <c r="E792" i="7" s="1"/>
  <c r="D790" i="7"/>
  <c r="E790" i="7" s="1"/>
  <c r="D788" i="7"/>
  <c r="E788" i="7" s="1"/>
  <c r="D783" i="7"/>
  <c r="E783" i="7" s="1"/>
  <c r="D775" i="7"/>
  <c r="E775" i="7" s="1"/>
  <c r="D773" i="7"/>
  <c r="E773" i="7" s="1"/>
  <c r="D765" i="7"/>
  <c r="E765" i="7" s="1"/>
  <c r="D734" i="7"/>
  <c r="E734" i="7" s="1"/>
  <c r="D726" i="7"/>
  <c r="E726" i="7" s="1"/>
  <c r="D724" i="7"/>
  <c r="E724" i="7" s="1"/>
  <c r="D711" i="7"/>
  <c r="E711" i="7" s="1"/>
  <c r="D703" i="7"/>
  <c r="E703" i="7" s="1"/>
  <c r="D701" i="7"/>
  <c r="E701" i="7" s="1"/>
  <c r="D693" i="7"/>
  <c r="E693" i="7" s="1"/>
  <c r="D652" i="7"/>
  <c r="E652" i="7" s="1"/>
  <c r="D648" i="7"/>
  <c r="E648" i="7" s="1"/>
  <c r="D640" i="7"/>
  <c r="E640" i="7" s="1"/>
  <c r="D636" i="7"/>
  <c r="E636" i="7" s="1"/>
  <c r="D624" i="7"/>
  <c r="E624" i="7" s="1"/>
  <c r="D620" i="7"/>
  <c r="E620" i="7" s="1"/>
  <c r="D969" i="7"/>
  <c r="E969" i="7" s="1"/>
  <c r="D953" i="7"/>
  <c r="E953" i="7" s="1"/>
  <c r="D894" i="7"/>
  <c r="E894" i="7" s="1"/>
  <c r="D877" i="7"/>
  <c r="E877" i="7" s="1"/>
  <c r="D875" i="7"/>
  <c r="E875" i="7" s="1"/>
  <c r="D849" i="7"/>
  <c r="E849" i="7" s="1"/>
  <c r="D845" i="7"/>
  <c r="E845" i="7" s="1"/>
  <c r="D749" i="7"/>
  <c r="E749" i="7" s="1"/>
  <c r="D741" i="7"/>
  <c r="E741" i="7" s="1"/>
  <c r="D733" i="7"/>
  <c r="E733" i="7" s="1"/>
  <c r="D716" i="7"/>
  <c r="E716" i="7" s="1"/>
  <c r="D708" i="7"/>
  <c r="E708" i="7" s="1"/>
  <c r="D515" i="7"/>
  <c r="E515" i="7" s="1"/>
  <c r="D513" i="7"/>
  <c r="E513" i="7" s="1"/>
  <c r="D511" i="7"/>
  <c r="E511" i="7" s="1"/>
  <c r="D509" i="7"/>
  <c r="E509" i="7" s="1"/>
  <c r="D501" i="7"/>
  <c r="E501" i="7" s="1"/>
  <c r="D487" i="7"/>
  <c r="E487" i="7" s="1"/>
  <c r="D455" i="7"/>
  <c r="E455" i="7" s="1"/>
  <c r="D446" i="7"/>
  <c r="E446" i="7" s="1"/>
  <c r="D444" i="7"/>
  <c r="E444" i="7" s="1"/>
  <c r="D442" i="7"/>
  <c r="E442" i="7" s="1"/>
  <c r="D440" i="7"/>
  <c r="E440" i="7" s="1"/>
  <c r="D438" i="7"/>
  <c r="E438" i="7" s="1"/>
  <c r="D436" i="7"/>
  <c r="E436" i="7" s="1"/>
  <c r="D645" i="7"/>
  <c r="E645" i="7" s="1"/>
  <c r="D643" i="7"/>
  <c r="E643" i="7" s="1"/>
  <c r="D619" i="7"/>
  <c r="E619" i="7" s="1"/>
  <c r="D608" i="7"/>
  <c r="E608" i="7" s="1"/>
  <c r="D1000" i="7"/>
  <c r="E1000" i="7" s="1"/>
  <c r="D996" i="7"/>
  <c r="E996" i="7" s="1"/>
  <c r="D951" i="7"/>
  <c r="E951" i="7" s="1"/>
  <c r="D947" i="7"/>
  <c r="E947" i="7" s="1"/>
  <c r="D935" i="7"/>
  <c r="E935" i="7" s="1"/>
  <c r="D933" i="7"/>
  <c r="E933" i="7" s="1"/>
  <c r="D931" i="7"/>
  <c r="E931" i="7" s="1"/>
  <c r="D925" i="7"/>
  <c r="E925" i="7" s="1"/>
  <c r="D909" i="7"/>
  <c r="E909" i="7" s="1"/>
  <c r="D892" i="7"/>
  <c r="E892" i="7" s="1"/>
  <c r="D827" i="7"/>
  <c r="E827" i="7" s="1"/>
  <c r="D823" i="7"/>
  <c r="E823" i="7" s="1"/>
  <c r="D811" i="7"/>
  <c r="E811" i="7" s="1"/>
  <c r="D807" i="7"/>
  <c r="E807" i="7" s="1"/>
  <c r="D727" i="7"/>
  <c r="E727" i="7" s="1"/>
  <c r="D698" i="7"/>
  <c r="E698" i="7" s="1"/>
  <c r="D613" i="7"/>
  <c r="E613" i="7" s="1"/>
  <c r="D588" i="7"/>
  <c r="E588" i="7" s="1"/>
  <c r="D586" i="7"/>
  <c r="E586" i="7" s="1"/>
  <c r="D584" i="7"/>
  <c r="E584" i="7" s="1"/>
  <c r="D578" i="7"/>
  <c r="E578" i="7" s="1"/>
  <c r="D576" i="7"/>
  <c r="E576" i="7" s="1"/>
  <c r="D574" i="7"/>
  <c r="E574" i="7" s="1"/>
  <c r="D572" i="7"/>
  <c r="E572" i="7" s="1"/>
  <c r="D570" i="7"/>
  <c r="E570" i="7" s="1"/>
  <c r="D568" i="7"/>
  <c r="E568" i="7" s="1"/>
  <c r="D566" i="7"/>
  <c r="E566" i="7" s="1"/>
  <c r="D564" i="7"/>
  <c r="E564" i="7" s="1"/>
  <c r="D562" i="7"/>
  <c r="E562" i="7" s="1"/>
  <c r="D560" i="7"/>
  <c r="E560" i="7" s="1"/>
  <c r="D558" i="7"/>
  <c r="E558" i="7" s="1"/>
  <c r="D556" i="7"/>
  <c r="E556" i="7" s="1"/>
  <c r="D554" i="7"/>
  <c r="E554" i="7" s="1"/>
  <c r="D552" i="7"/>
  <c r="E552" i="7" s="1"/>
  <c r="D550" i="7"/>
  <c r="E550" i="7" s="1"/>
  <c r="D548" i="7"/>
  <c r="E548" i="7" s="1"/>
  <c r="D546" i="7"/>
  <c r="E546" i="7" s="1"/>
  <c r="D544" i="7"/>
  <c r="E544" i="7" s="1"/>
  <c r="D542" i="7"/>
  <c r="E542" i="7" s="1"/>
  <c r="D540" i="7"/>
  <c r="E540" i="7" s="1"/>
  <c r="D538" i="7"/>
  <c r="E538" i="7" s="1"/>
  <c r="D536" i="7"/>
  <c r="E536" i="7" s="1"/>
  <c r="D534" i="7"/>
  <c r="E534" i="7" s="1"/>
  <c r="D532" i="7"/>
  <c r="E532" i="7" s="1"/>
  <c r="D530" i="7"/>
  <c r="E530" i="7" s="1"/>
  <c r="D528" i="7"/>
  <c r="E528" i="7" s="1"/>
  <c r="D526" i="7"/>
  <c r="E526" i="7" s="1"/>
  <c r="D524" i="7"/>
  <c r="E524" i="7" s="1"/>
  <c r="D522" i="7"/>
  <c r="E522" i="7" s="1"/>
  <c r="D520" i="7"/>
  <c r="E520" i="7" s="1"/>
  <c r="D518" i="7"/>
  <c r="E518" i="7" s="1"/>
  <c r="D516" i="7"/>
  <c r="E516" i="7" s="1"/>
  <c r="D514" i="7"/>
  <c r="E514" i="7" s="1"/>
  <c r="D512" i="7"/>
  <c r="E512" i="7" s="1"/>
  <c r="D510" i="7"/>
  <c r="E510" i="7" s="1"/>
  <c r="D508" i="7"/>
  <c r="E508" i="7" s="1"/>
  <c r="D502" i="7"/>
  <c r="E502" i="7" s="1"/>
  <c r="D500" i="7"/>
  <c r="E500" i="7" s="1"/>
  <c r="D485" i="7"/>
  <c r="E485" i="7" s="1"/>
  <c r="D479" i="7"/>
  <c r="E479" i="7" s="1"/>
  <c r="D476" i="7"/>
  <c r="E476" i="7" s="1"/>
  <c r="D474" i="7"/>
  <c r="E474" i="7" s="1"/>
  <c r="D472" i="7"/>
  <c r="E472" i="7" s="1"/>
  <c r="D470" i="7"/>
  <c r="E470" i="7" s="1"/>
  <c r="D468" i="7"/>
  <c r="E468" i="7" s="1"/>
  <c r="D449" i="7"/>
  <c r="E449" i="7" s="1"/>
  <c r="D475" i="7"/>
  <c r="E475" i="7" s="1"/>
  <c r="D471" i="7"/>
  <c r="E471" i="7" s="1"/>
  <c r="D460" i="7"/>
  <c r="E460" i="7" s="1"/>
  <c r="D458" i="7"/>
  <c r="E458" i="7" s="1"/>
  <c r="D456" i="7"/>
  <c r="E456" i="7" s="1"/>
  <c r="D437" i="7"/>
  <c r="E437" i="7" s="1"/>
  <c r="D433" i="7"/>
  <c r="E433" i="7" s="1"/>
  <c r="D423" i="7"/>
  <c r="E423" i="7" s="1"/>
  <c r="D408" i="7"/>
  <c r="E408" i="7" s="1"/>
  <c r="D406" i="7"/>
  <c r="E406" i="7" s="1"/>
  <c r="D404" i="7"/>
  <c r="E404" i="7" s="1"/>
  <c r="D402" i="7"/>
  <c r="E402" i="7" s="1"/>
  <c r="D400" i="7"/>
  <c r="E400" i="7" s="1"/>
  <c r="D398" i="7"/>
  <c r="E398" i="7" s="1"/>
  <c r="D396" i="7"/>
  <c r="E396" i="7" s="1"/>
  <c r="D394" i="7"/>
  <c r="E394" i="7" s="1"/>
  <c r="D392" i="7"/>
  <c r="E392" i="7" s="1"/>
  <c r="D390" i="7"/>
  <c r="E390" i="7" s="1"/>
  <c r="D388" i="7"/>
  <c r="E388" i="7" s="1"/>
  <c r="D386" i="7"/>
  <c r="E386" i="7" s="1"/>
  <c r="D384" i="7"/>
  <c r="E384" i="7" s="1"/>
  <c r="D382" i="7"/>
  <c r="E382" i="7" s="1"/>
  <c r="D380" i="7"/>
  <c r="E380" i="7" s="1"/>
  <c r="D378" i="7"/>
  <c r="E378" i="7" s="1"/>
  <c r="D376" i="7"/>
  <c r="E376" i="7" s="1"/>
  <c r="D374" i="7"/>
  <c r="E374" i="7" s="1"/>
  <c r="D372" i="7"/>
  <c r="E372" i="7" s="1"/>
  <c r="D370" i="7"/>
  <c r="E370" i="7" s="1"/>
  <c r="D368" i="7"/>
  <c r="E368" i="7" s="1"/>
  <c r="D366" i="7"/>
  <c r="E366" i="7" s="1"/>
  <c r="D364" i="7"/>
  <c r="E364" i="7" s="1"/>
  <c r="D362" i="7"/>
  <c r="E362" i="7" s="1"/>
  <c r="D360" i="7"/>
  <c r="E360" i="7" s="1"/>
  <c r="D358" i="7"/>
  <c r="E358" i="7" s="1"/>
  <c r="D356" i="7"/>
  <c r="E356" i="7" s="1"/>
  <c r="D354" i="7"/>
  <c r="E354" i="7" s="1"/>
  <c r="D352" i="7"/>
  <c r="E352" i="7" s="1"/>
  <c r="D339" i="7"/>
  <c r="E339" i="7" s="1"/>
  <c r="D337" i="7"/>
  <c r="E337" i="7" s="1"/>
  <c r="D335" i="7"/>
  <c r="E335" i="7" s="1"/>
  <c r="D333" i="7"/>
  <c r="E333" i="7" s="1"/>
  <c r="D331" i="7"/>
  <c r="E331" i="7" s="1"/>
  <c r="D313" i="7"/>
  <c r="E313" i="7" s="1"/>
  <c r="D306" i="7"/>
  <c r="E306" i="7" s="1"/>
  <c r="D295" i="7"/>
  <c r="E295" i="7" s="1"/>
  <c r="D293" i="7"/>
  <c r="E293" i="7" s="1"/>
  <c r="D288" i="7"/>
  <c r="E288" i="7" s="1"/>
  <c r="D280" i="7"/>
  <c r="E280" i="7" s="1"/>
  <c r="D273" i="7"/>
  <c r="E273" i="7" s="1"/>
  <c r="D265" i="7"/>
  <c r="E265" i="7" s="1"/>
  <c r="D261" i="7"/>
  <c r="E261" i="7" s="1"/>
  <c r="D255" i="7"/>
  <c r="E255" i="7" s="1"/>
  <c r="D242" i="7"/>
  <c r="E242" i="7" s="1"/>
  <c r="D240" i="7"/>
  <c r="E240" i="7" s="1"/>
  <c r="D238" i="7"/>
  <c r="E238" i="7" s="1"/>
  <c r="D228" i="7"/>
  <c r="E228" i="7" s="1"/>
  <c r="D223" i="7"/>
  <c r="E223" i="7" s="1"/>
  <c r="D221" i="7"/>
  <c r="E221" i="7" s="1"/>
  <c r="D210" i="7"/>
  <c r="E210" i="7" s="1"/>
  <c r="D193" i="7"/>
  <c r="E193" i="7" s="1"/>
  <c r="D189" i="7"/>
  <c r="E189" i="7" s="1"/>
  <c r="D187" i="7"/>
  <c r="E187" i="7" s="1"/>
  <c r="D178" i="7"/>
  <c r="E178" i="7" s="1"/>
  <c r="D168" i="7"/>
  <c r="E168" i="7" s="1"/>
  <c r="D161" i="7"/>
  <c r="E161" i="7" s="1"/>
  <c r="D157" i="7"/>
  <c r="E157" i="7" s="1"/>
  <c r="D155" i="7"/>
  <c r="E155" i="7" s="1"/>
  <c r="D146" i="7"/>
  <c r="E146" i="7" s="1"/>
  <c r="D129" i="7"/>
  <c r="E129" i="7" s="1"/>
  <c r="D127" i="7"/>
  <c r="E127" i="7" s="1"/>
  <c r="D121" i="7"/>
  <c r="E121" i="7" s="1"/>
  <c r="D119" i="7"/>
  <c r="E119" i="7" s="1"/>
  <c r="D117" i="7"/>
  <c r="E117" i="7" s="1"/>
  <c r="D115" i="7"/>
  <c r="E115" i="7" s="1"/>
  <c r="D113" i="7"/>
  <c r="E113" i="7" s="1"/>
  <c r="D111" i="7"/>
  <c r="E111" i="7" s="1"/>
  <c r="D109" i="7"/>
  <c r="E109" i="7" s="1"/>
  <c r="D107" i="7"/>
  <c r="E107" i="7" s="1"/>
  <c r="D336" i="7"/>
  <c r="E336" i="7" s="1"/>
  <c r="D289" i="7"/>
  <c r="E289" i="7" s="1"/>
  <c r="D264" i="7"/>
  <c r="E264" i="7" s="1"/>
  <c r="D239" i="7"/>
  <c r="E239" i="7" s="1"/>
  <c r="D213" i="7"/>
  <c r="E213" i="7" s="1"/>
  <c r="D192" i="7"/>
  <c r="E192" i="7" s="1"/>
  <c r="D181" i="7"/>
  <c r="E181" i="7" s="1"/>
  <c r="D179" i="7"/>
  <c r="E179" i="7" s="1"/>
  <c r="D160" i="7"/>
  <c r="E160" i="7" s="1"/>
  <c r="D149" i="7"/>
  <c r="E149" i="7" s="1"/>
  <c r="D147" i="7"/>
  <c r="E147" i="7" s="1"/>
  <c r="D130" i="7"/>
  <c r="E130" i="7" s="1"/>
  <c r="D413" i="7"/>
  <c r="E413" i="7" s="1"/>
  <c r="D411" i="7"/>
  <c r="E411" i="7" s="1"/>
  <c r="D345" i="7"/>
  <c r="E345" i="7" s="1"/>
  <c r="D320" i="7"/>
  <c r="E320" i="7" s="1"/>
  <c r="D301" i="7"/>
  <c r="E301" i="7" s="1"/>
  <c r="D285" i="7"/>
  <c r="E285" i="7" s="1"/>
  <c r="D248" i="7"/>
  <c r="E248" i="7" s="1"/>
  <c r="D231" i="7"/>
  <c r="E231" i="7" s="1"/>
  <c r="D205" i="7"/>
  <c r="E205" i="7" s="1"/>
  <c r="D184" i="7"/>
  <c r="E184" i="7" s="1"/>
  <c r="D173" i="7"/>
  <c r="E173" i="7" s="1"/>
  <c r="D171" i="7"/>
  <c r="E171" i="7" s="1"/>
  <c r="D152" i="7"/>
  <c r="E152" i="7" s="1"/>
  <c r="D991" i="7"/>
  <c r="E991" i="7" s="1"/>
  <c r="D989" i="7"/>
  <c r="E989" i="7" s="1"/>
  <c r="D987" i="7"/>
  <c r="E987" i="7" s="1"/>
  <c r="D977" i="7"/>
  <c r="E977" i="7" s="1"/>
  <c r="D974" i="7"/>
  <c r="E974" i="7" s="1"/>
  <c r="D972" i="7"/>
  <c r="E972" i="7" s="1"/>
  <c r="D970" i="7"/>
  <c r="E970" i="7" s="1"/>
  <c r="D959" i="7"/>
  <c r="E959" i="7" s="1"/>
  <c r="D957" i="7"/>
  <c r="E957" i="7" s="1"/>
  <c r="D955" i="7"/>
  <c r="E955" i="7" s="1"/>
  <c r="D945" i="7"/>
  <c r="E945" i="7" s="1"/>
  <c r="D942" i="7"/>
  <c r="E942" i="7" s="1"/>
  <c r="D940" i="7"/>
  <c r="E940" i="7" s="1"/>
  <c r="D938" i="7"/>
  <c r="E938" i="7" s="1"/>
  <c r="D927" i="7"/>
  <c r="E927" i="7" s="1"/>
  <c r="D923" i="7"/>
  <c r="E923" i="7" s="1"/>
  <c r="D920" i="7"/>
  <c r="E920" i="7" s="1"/>
  <c r="D918" i="7"/>
  <c r="E918" i="7" s="1"/>
  <c r="D914" i="7"/>
  <c r="E914" i="7" s="1"/>
  <c r="D910" i="7"/>
  <c r="E910" i="7" s="1"/>
  <c r="D899" i="7"/>
  <c r="E899" i="7" s="1"/>
  <c r="D897" i="7"/>
  <c r="E897" i="7" s="1"/>
  <c r="D889" i="7"/>
  <c r="E889" i="7" s="1"/>
  <c r="D885" i="7"/>
  <c r="E885" i="7" s="1"/>
  <c r="D876" i="7"/>
  <c r="E876" i="7" s="1"/>
  <c r="D868" i="7"/>
  <c r="E868" i="7" s="1"/>
  <c r="D859" i="7"/>
  <c r="E859" i="7" s="1"/>
  <c r="D854" i="7"/>
  <c r="E854" i="7" s="1"/>
  <c r="D850" i="7"/>
  <c r="E850" i="7" s="1"/>
  <c r="D835" i="7"/>
  <c r="E835" i="7" s="1"/>
  <c r="D831" i="7"/>
  <c r="E831" i="7" s="1"/>
  <c r="D821" i="7"/>
  <c r="E821" i="7" s="1"/>
  <c r="D812" i="7"/>
  <c r="E812" i="7" s="1"/>
  <c r="D777" i="7"/>
  <c r="E777" i="7" s="1"/>
  <c r="D766" i="7"/>
  <c r="E766" i="7" s="1"/>
  <c r="D762" i="7"/>
  <c r="E762" i="7" s="1"/>
  <c r="D760" i="7"/>
  <c r="E760" i="7" s="1"/>
  <c r="D758" i="7"/>
  <c r="E758" i="7" s="1"/>
  <c r="D756" i="7"/>
  <c r="E756" i="7" s="1"/>
  <c r="D754" i="7"/>
  <c r="E754" i="7" s="1"/>
  <c r="D752" i="7"/>
  <c r="E752" i="7" s="1"/>
  <c r="D747" i="7"/>
  <c r="E747" i="7" s="1"/>
  <c r="D737" i="7"/>
  <c r="E737" i="7" s="1"/>
  <c r="D723" i="7"/>
  <c r="E723" i="7" s="1"/>
  <c r="D721" i="7"/>
  <c r="E721" i="7" s="1"/>
  <c r="D712" i="7"/>
  <c r="E712" i="7" s="1"/>
  <c r="D707" i="7"/>
  <c r="E707" i="7" s="1"/>
  <c r="D705" i="7"/>
  <c r="E705" i="7" s="1"/>
  <c r="D702" i="7"/>
  <c r="E702" i="7" s="1"/>
  <c r="D696" i="7"/>
  <c r="E696" i="7" s="1"/>
  <c r="D691" i="7"/>
  <c r="E691" i="7" s="1"/>
  <c r="D689" i="7"/>
  <c r="E689" i="7" s="1"/>
  <c r="D639" i="7"/>
  <c r="E639" i="7" s="1"/>
  <c r="D632" i="7"/>
  <c r="E632" i="7" s="1"/>
  <c r="D630" i="7"/>
  <c r="E630" i="7" s="1"/>
  <c r="D628" i="7"/>
  <c r="E628" i="7" s="1"/>
  <c r="D603" i="7"/>
  <c r="E603" i="7" s="1"/>
  <c r="D595" i="7"/>
  <c r="E595" i="7" s="1"/>
  <c r="D593" i="7"/>
  <c r="E593" i="7" s="1"/>
  <c r="D591" i="7"/>
  <c r="E591" i="7" s="1"/>
  <c r="D587" i="7"/>
  <c r="E587" i="7" s="1"/>
  <c r="D583" i="7"/>
  <c r="E583" i="7" s="1"/>
  <c r="D507" i="7"/>
  <c r="E507" i="7" s="1"/>
  <c r="D459" i="7"/>
  <c r="E459" i="7" s="1"/>
  <c r="D427" i="7"/>
  <c r="E427" i="7" s="1"/>
  <c r="D993" i="7"/>
  <c r="E993" i="7" s="1"/>
  <c r="D990" i="7"/>
  <c r="E990" i="7" s="1"/>
  <c r="D988" i="7"/>
  <c r="E988" i="7" s="1"/>
  <c r="D986" i="7"/>
  <c r="E986" i="7" s="1"/>
  <c r="D975" i="7"/>
  <c r="E975" i="7" s="1"/>
  <c r="D973" i="7"/>
  <c r="E973" i="7" s="1"/>
  <c r="D971" i="7"/>
  <c r="E971" i="7" s="1"/>
  <c r="D961" i="7"/>
  <c r="E961" i="7" s="1"/>
  <c r="D958" i="7"/>
  <c r="E958" i="7" s="1"/>
  <c r="D956" i="7"/>
  <c r="E956" i="7" s="1"/>
  <c r="D954" i="7"/>
  <c r="E954" i="7" s="1"/>
  <c r="D943" i="7"/>
  <c r="E943" i="7" s="1"/>
  <c r="D941" i="7"/>
  <c r="E941" i="7" s="1"/>
  <c r="D939" i="7"/>
  <c r="E939" i="7" s="1"/>
  <c r="D929" i="7"/>
  <c r="E929" i="7" s="1"/>
  <c r="D921" i="7"/>
  <c r="E921" i="7" s="1"/>
  <c r="D917" i="7"/>
  <c r="E917" i="7" s="1"/>
  <c r="D908" i="7"/>
  <c r="E908" i="7" s="1"/>
  <c r="D900" i="7"/>
  <c r="E900" i="7" s="1"/>
  <c r="D891" i="7"/>
  <c r="E891" i="7" s="1"/>
  <c r="D888" i="7"/>
  <c r="E888" i="7" s="1"/>
  <c r="D886" i="7"/>
  <c r="E886" i="7" s="1"/>
  <c r="D882" i="7"/>
  <c r="E882" i="7" s="1"/>
  <c r="D878" i="7"/>
  <c r="E878" i="7" s="1"/>
  <c r="D867" i="7"/>
  <c r="E867" i="7" s="1"/>
  <c r="D865" i="7"/>
  <c r="E865" i="7" s="1"/>
  <c r="D853" i="7"/>
  <c r="E853" i="7" s="1"/>
  <c r="D847" i="7"/>
  <c r="E847" i="7" s="1"/>
  <c r="D839" i="7"/>
  <c r="E839" i="7" s="1"/>
  <c r="D815" i="7"/>
  <c r="E815" i="7" s="1"/>
  <c r="D813" i="7"/>
  <c r="E813" i="7" s="1"/>
  <c r="D803" i="7"/>
  <c r="E803" i="7" s="1"/>
  <c r="D795" i="7"/>
  <c r="E795" i="7" s="1"/>
  <c r="D785" i="7"/>
  <c r="E785" i="7" s="1"/>
  <c r="D780" i="7"/>
  <c r="E780" i="7" s="1"/>
  <c r="D778" i="7"/>
  <c r="E778" i="7" s="1"/>
  <c r="D776" i="7"/>
  <c r="E776" i="7" s="1"/>
  <c r="D771" i="7"/>
  <c r="E771" i="7" s="1"/>
  <c r="D761" i="7"/>
  <c r="E761" i="7" s="1"/>
  <c r="D753" i="7"/>
  <c r="E753" i="7" s="1"/>
  <c r="D742" i="7"/>
  <c r="E742" i="7" s="1"/>
  <c r="D738" i="7"/>
  <c r="E738" i="7" s="1"/>
  <c r="D736" i="7"/>
  <c r="E736" i="7" s="1"/>
  <c r="D729" i="7"/>
  <c r="E729" i="7" s="1"/>
  <c r="D720" i="7"/>
  <c r="E720" i="7" s="1"/>
  <c r="D715" i="7"/>
  <c r="E715" i="7" s="1"/>
  <c r="D713" i="7"/>
  <c r="E713" i="7" s="1"/>
  <c r="D710" i="7"/>
  <c r="E710" i="7" s="1"/>
  <c r="D704" i="7"/>
  <c r="E704" i="7" s="1"/>
  <c r="D699" i="7"/>
  <c r="E699" i="7" s="1"/>
  <c r="D697" i="7"/>
  <c r="E697" i="7" s="1"/>
  <c r="D694" i="7"/>
  <c r="E694" i="7" s="1"/>
  <c r="D635" i="7"/>
  <c r="E635" i="7" s="1"/>
  <c r="D627" i="7"/>
  <c r="E627" i="7" s="1"/>
  <c r="D625" i="7"/>
  <c r="E625" i="7" s="1"/>
  <c r="D623" i="7"/>
  <c r="E623" i="7" s="1"/>
  <c r="D607" i="7"/>
  <c r="E607" i="7" s="1"/>
  <c r="D600" i="7"/>
  <c r="E600" i="7" s="1"/>
  <c r="D598" i="7"/>
  <c r="E598" i="7" s="1"/>
  <c r="D490" i="7"/>
  <c r="E490" i="7" s="1"/>
  <c r="D488" i="7"/>
  <c r="E488" i="7" s="1"/>
  <c r="D481" i="7"/>
  <c r="E481" i="7" s="1"/>
  <c r="D506" i="7"/>
  <c r="E506" i="7" s="1"/>
  <c r="D504" i="7"/>
  <c r="E504" i="7" s="1"/>
  <c r="D497" i="7"/>
  <c r="E497" i="7" s="1"/>
  <c r="D491" i="7"/>
  <c r="E491" i="7" s="1"/>
  <c r="D484" i="7"/>
  <c r="E484" i="7" s="1"/>
  <c r="D477" i="7"/>
  <c r="E477" i="7" s="1"/>
  <c r="D454" i="7"/>
  <c r="E454" i="7" s="1"/>
  <c r="D452" i="7"/>
  <c r="E452" i="7" s="1"/>
  <c r="D445" i="7"/>
  <c r="E445" i="7" s="1"/>
  <c r="D422" i="7"/>
  <c r="E422" i="7" s="1"/>
  <c r="D420" i="7"/>
  <c r="E420" i="7" s="1"/>
  <c r="D596" i="7"/>
  <c r="E596" i="7" s="1"/>
  <c r="D505" i="7"/>
  <c r="E505" i="7" s="1"/>
  <c r="D499" i="7"/>
  <c r="E499" i="7" s="1"/>
  <c r="D496" i="7"/>
  <c r="E496" i="7" s="1"/>
  <c r="D489" i="7"/>
  <c r="E489" i="7" s="1"/>
  <c r="D483" i="7"/>
  <c r="E483" i="7" s="1"/>
  <c r="D480" i="7"/>
  <c r="E480" i="7" s="1"/>
  <c r="D473" i="7"/>
  <c r="E473" i="7" s="1"/>
  <c r="D467" i="7"/>
  <c r="E467" i="7" s="1"/>
  <c r="D464" i="7"/>
  <c r="E464" i="7" s="1"/>
  <c r="D457" i="7"/>
  <c r="E457" i="7" s="1"/>
  <c r="D451" i="7"/>
  <c r="E451" i="7" s="1"/>
  <c r="D448" i="7"/>
  <c r="E448" i="7" s="1"/>
  <c r="D441" i="7"/>
  <c r="E441" i="7" s="1"/>
  <c r="D435" i="7"/>
  <c r="E435" i="7" s="1"/>
  <c r="D432" i="7"/>
  <c r="E432" i="7" s="1"/>
  <c r="D425" i="7"/>
  <c r="E425" i="7" s="1"/>
  <c r="D419" i="7"/>
  <c r="E419" i="7" s="1"/>
  <c r="D416" i="7"/>
  <c r="E416" i="7" s="1"/>
  <c r="D409" i="7"/>
  <c r="E409" i="7" s="1"/>
  <c r="D350" i="7"/>
  <c r="E350" i="7" s="1"/>
  <c r="D348" i="7"/>
  <c r="E348" i="7" s="1"/>
  <c r="D343" i="7"/>
  <c r="E343" i="7" s="1"/>
  <c r="D334" i="7"/>
  <c r="E334" i="7" s="1"/>
  <c r="D332" i="7"/>
  <c r="E332" i="7" s="1"/>
  <c r="D327" i="7"/>
  <c r="E327" i="7" s="1"/>
  <c r="D318" i="7"/>
  <c r="E318" i="7" s="1"/>
  <c r="D316" i="7"/>
  <c r="E316" i="7" s="1"/>
  <c r="D311" i="7"/>
  <c r="E311" i="7" s="1"/>
  <c r="D304" i="7"/>
  <c r="E304" i="7" s="1"/>
  <c r="D283" i="7"/>
  <c r="E283" i="7" s="1"/>
  <c r="D278" i="7"/>
  <c r="E278" i="7" s="1"/>
  <c r="D269" i="7"/>
  <c r="E269" i="7" s="1"/>
  <c r="D267" i="7"/>
  <c r="E267" i="7" s="1"/>
  <c r="D262" i="7"/>
  <c r="E262" i="7" s="1"/>
  <c r="D253" i="7"/>
  <c r="E253" i="7" s="1"/>
  <c r="D251" i="7"/>
  <c r="E251" i="7" s="1"/>
  <c r="D246" i="7"/>
  <c r="E246" i="7" s="1"/>
  <c r="D237" i="7"/>
  <c r="E237" i="7" s="1"/>
  <c r="D229" i="7"/>
  <c r="E229" i="7" s="1"/>
  <c r="D219" i="7"/>
  <c r="E219" i="7" s="1"/>
  <c r="D211" i="7"/>
  <c r="E211" i="7" s="1"/>
  <c r="D203" i="7"/>
  <c r="E203" i="7" s="1"/>
  <c r="D200" i="7"/>
  <c r="E200" i="7" s="1"/>
  <c r="D137" i="7"/>
  <c r="E137" i="7" s="1"/>
  <c r="D135" i="7"/>
  <c r="E135" i="7" s="1"/>
  <c r="D133" i="7"/>
  <c r="E133" i="7" s="1"/>
  <c r="D131" i="7"/>
  <c r="E131" i="7" s="1"/>
  <c r="D120" i="7"/>
  <c r="E120" i="7" s="1"/>
  <c r="D116" i="7"/>
  <c r="E116" i="7" s="1"/>
  <c r="D114" i="7"/>
  <c r="E114" i="7" s="1"/>
  <c r="D105" i="7"/>
  <c r="E105" i="7" s="1"/>
  <c r="D103" i="7"/>
  <c r="E103" i="7" s="1"/>
  <c r="D101" i="7"/>
  <c r="E101" i="7" s="1"/>
  <c r="D99" i="7"/>
  <c r="E99" i="7" s="1"/>
  <c r="D463" i="7"/>
  <c r="E463" i="7" s="1"/>
  <c r="D447" i="7"/>
  <c r="E447" i="7" s="1"/>
  <c r="D431" i="7"/>
  <c r="E431" i="7" s="1"/>
  <c r="D415" i="7"/>
  <c r="E415" i="7" s="1"/>
  <c r="D407" i="7"/>
  <c r="E407" i="7" s="1"/>
  <c r="D405" i="7"/>
  <c r="E405" i="7" s="1"/>
  <c r="D403" i="7"/>
  <c r="E403" i="7" s="1"/>
  <c r="D401" i="7"/>
  <c r="E401" i="7" s="1"/>
  <c r="D399" i="7"/>
  <c r="E399" i="7" s="1"/>
  <c r="D397" i="7"/>
  <c r="E397" i="7" s="1"/>
  <c r="D395" i="7"/>
  <c r="E395" i="7" s="1"/>
  <c r="D393" i="7"/>
  <c r="E393" i="7" s="1"/>
  <c r="D391" i="7"/>
  <c r="E391" i="7" s="1"/>
  <c r="D389" i="7"/>
  <c r="E389" i="7" s="1"/>
  <c r="D387" i="7"/>
  <c r="E387" i="7" s="1"/>
  <c r="D385" i="7"/>
  <c r="E385" i="7" s="1"/>
  <c r="D383" i="7"/>
  <c r="E383" i="7" s="1"/>
  <c r="D381" i="7"/>
  <c r="E381" i="7" s="1"/>
  <c r="D379" i="7"/>
  <c r="E379" i="7" s="1"/>
  <c r="D377" i="7"/>
  <c r="E377" i="7" s="1"/>
  <c r="D375" i="7"/>
  <c r="E375" i="7" s="1"/>
  <c r="D373" i="7"/>
  <c r="E373" i="7" s="1"/>
  <c r="D371" i="7"/>
  <c r="E371" i="7" s="1"/>
  <c r="D369" i="7"/>
  <c r="E369" i="7" s="1"/>
  <c r="D367" i="7"/>
  <c r="E367" i="7" s="1"/>
  <c r="D365" i="7"/>
  <c r="E365" i="7" s="1"/>
  <c r="D363" i="7"/>
  <c r="E363" i="7" s="1"/>
  <c r="D361" i="7"/>
  <c r="E361" i="7" s="1"/>
  <c r="D359" i="7"/>
  <c r="E359" i="7" s="1"/>
  <c r="D357" i="7"/>
  <c r="E357" i="7" s="1"/>
  <c r="D355" i="7"/>
  <c r="E355" i="7" s="1"/>
  <c r="D353" i="7"/>
  <c r="E353" i="7" s="1"/>
  <c r="D344" i="7"/>
  <c r="E344" i="7" s="1"/>
  <c r="D328" i="7"/>
  <c r="E328" i="7" s="1"/>
  <c r="D312" i="7"/>
  <c r="E312" i="7" s="1"/>
  <c r="D279" i="7"/>
  <c r="E279" i="7" s="1"/>
  <c r="D263" i="7"/>
  <c r="E263" i="7" s="1"/>
  <c r="D247" i="7"/>
  <c r="E247" i="7" s="1"/>
  <c r="D235" i="7"/>
  <c r="E235" i="7" s="1"/>
  <c r="D227" i="7"/>
  <c r="E227" i="7" s="1"/>
  <c r="D191" i="7"/>
  <c r="E191" i="7" s="1"/>
  <c r="D188" i="7"/>
  <c r="E188" i="7" s="1"/>
  <c r="D183" i="7"/>
  <c r="E183" i="7" s="1"/>
  <c r="D180" i="7"/>
  <c r="E180" i="7" s="1"/>
  <c r="D175" i="7"/>
  <c r="E175" i="7" s="1"/>
  <c r="D172" i="7"/>
  <c r="E172" i="7" s="1"/>
  <c r="D167" i="7"/>
  <c r="E167" i="7" s="1"/>
  <c r="D164" i="7"/>
  <c r="E164" i="7" s="1"/>
  <c r="D159" i="7"/>
  <c r="E159" i="7" s="1"/>
  <c r="D156" i="7"/>
  <c r="E156" i="7" s="1"/>
  <c r="D151" i="7"/>
  <c r="E151" i="7" s="1"/>
  <c r="D148" i="7"/>
  <c r="E148" i="7" s="1"/>
  <c r="D143" i="7"/>
  <c r="E143" i="7" s="1"/>
  <c r="D108" i="7"/>
  <c r="E108" i="7" s="1"/>
  <c r="D106" i="7"/>
  <c r="E106" i="7" s="1"/>
  <c r="D340" i="7"/>
  <c r="E340" i="7" s="1"/>
  <c r="D324" i="7"/>
  <c r="E324" i="7" s="1"/>
  <c r="D308" i="7"/>
  <c r="E308" i="7" s="1"/>
  <c r="D275" i="7"/>
  <c r="E275" i="7" s="1"/>
  <c r="D259" i="7"/>
  <c r="E259" i="7" s="1"/>
  <c r="D243" i="7"/>
  <c r="E243" i="7" s="1"/>
  <c r="D233" i="7"/>
  <c r="E233" i="7" s="1"/>
  <c r="D919" i="7"/>
  <c r="E919" i="7" s="1"/>
  <c r="D903" i="7"/>
  <c r="E903" i="7" s="1"/>
  <c r="D887" i="7"/>
  <c r="E887" i="7" s="1"/>
  <c r="D871" i="7"/>
  <c r="E871" i="7" s="1"/>
  <c r="D851" i="7"/>
  <c r="E851" i="7" s="1"/>
  <c r="D841" i="7"/>
  <c r="E841" i="7" s="1"/>
  <c r="D836" i="7"/>
  <c r="E836" i="7" s="1"/>
  <c r="D818" i="7"/>
  <c r="E818" i="7" s="1"/>
  <c r="D816" i="7"/>
  <c r="E816" i="7" s="1"/>
  <c r="D791" i="7"/>
  <c r="E791" i="7" s="1"/>
  <c r="D767" i="7"/>
  <c r="E767" i="7" s="1"/>
  <c r="D750" i="7"/>
  <c r="E750" i="7" s="1"/>
  <c r="D911" i="7"/>
  <c r="E911" i="7" s="1"/>
  <c r="D895" i="7"/>
  <c r="E895" i="7" s="1"/>
  <c r="D879" i="7"/>
  <c r="E879" i="7" s="1"/>
  <c r="D857" i="7"/>
  <c r="E857" i="7" s="1"/>
  <c r="D855" i="7"/>
  <c r="E855" i="7" s="1"/>
  <c r="D833" i="7"/>
  <c r="E833" i="7" s="1"/>
  <c r="D830" i="7"/>
  <c r="E830" i="7" s="1"/>
  <c r="D826" i="7"/>
  <c r="E826" i="7" s="1"/>
  <c r="D824" i="7"/>
  <c r="E824" i="7" s="1"/>
  <c r="D801" i="7"/>
  <c r="E801" i="7" s="1"/>
  <c r="D798" i="7"/>
  <c r="E798" i="7" s="1"/>
  <c r="D774" i="7"/>
  <c r="E774" i="7" s="1"/>
  <c r="D743" i="7"/>
  <c r="E743" i="7" s="1"/>
  <c r="D718" i="7"/>
  <c r="E718" i="7" s="1"/>
  <c r="D653" i="7"/>
  <c r="E653" i="7" s="1"/>
  <c r="D638" i="7"/>
  <c r="E638" i="7" s="1"/>
  <c r="D633" i="7"/>
  <c r="E633" i="7" s="1"/>
  <c r="D621" i="7"/>
  <c r="E621" i="7" s="1"/>
  <c r="D606" i="7"/>
  <c r="E606" i="7" s="1"/>
  <c r="D601" i="7"/>
  <c r="E601" i="7" s="1"/>
  <c r="D589" i="7"/>
  <c r="E589" i="7" s="1"/>
  <c r="D582" i="7"/>
  <c r="E582" i="7" s="1"/>
  <c r="D646" i="7"/>
  <c r="E646" i="7" s="1"/>
  <c r="D641" i="7"/>
  <c r="E641" i="7" s="1"/>
  <c r="D629" i="7"/>
  <c r="E629" i="7" s="1"/>
  <c r="D614" i="7"/>
  <c r="E614" i="7" s="1"/>
  <c r="D609" i="7"/>
  <c r="E609" i="7" s="1"/>
  <c r="D597" i="7"/>
  <c r="E597" i="7" s="1"/>
  <c r="D585" i="7"/>
  <c r="E585" i="7" s="1"/>
  <c r="D863" i="7"/>
  <c r="E863" i="7" s="1"/>
  <c r="D842" i="7"/>
  <c r="E842" i="7" s="1"/>
  <c r="D840" i="7"/>
  <c r="E840" i="7" s="1"/>
  <c r="D837" i="7"/>
  <c r="E837" i="7" s="1"/>
  <c r="D825" i="7"/>
  <c r="E825" i="7" s="1"/>
  <c r="D820" i="7"/>
  <c r="E820" i="7" s="1"/>
  <c r="D810" i="7"/>
  <c r="E810" i="7" s="1"/>
  <c r="D808" i="7"/>
  <c r="E808" i="7" s="1"/>
  <c r="D805" i="7"/>
  <c r="E805" i="7" s="1"/>
  <c r="D793" i="7"/>
  <c r="E793" i="7" s="1"/>
  <c r="D786" i="7"/>
  <c r="E786" i="7" s="1"/>
  <c r="D784" i="7"/>
  <c r="E784" i="7" s="1"/>
  <c r="D781" i="7"/>
  <c r="E781" i="7" s="1"/>
  <c r="D769" i="7"/>
  <c r="E769" i="7" s="1"/>
  <c r="D764" i="7"/>
  <c r="E764" i="7" s="1"/>
  <c r="D757" i="7"/>
  <c r="E757" i="7" s="1"/>
  <c r="D745" i="7"/>
  <c r="E745" i="7" s="1"/>
  <c r="D740" i="7"/>
  <c r="E740" i="7" s="1"/>
  <c r="D730" i="7"/>
  <c r="E730" i="7" s="1"/>
  <c r="D728" i="7"/>
  <c r="E728" i="7" s="1"/>
  <c r="D688" i="7"/>
  <c r="E688" i="7" s="1"/>
  <c r="D686" i="7"/>
  <c r="E686" i="7" s="1"/>
  <c r="D684" i="7"/>
  <c r="E684" i="7" s="1"/>
  <c r="D682" i="7"/>
  <c r="E682" i="7" s="1"/>
  <c r="D680" i="7"/>
  <c r="E680" i="7" s="1"/>
  <c r="D678" i="7"/>
  <c r="E678" i="7" s="1"/>
  <c r="D676" i="7"/>
  <c r="E676" i="7" s="1"/>
  <c r="D674" i="7"/>
  <c r="E674" i="7" s="1"/>
  <c r="D672" i="7"/>
  <c r="E672" i="7" s="1"/>
  <c r="D670" i="7"/>
  <c r="E670" i="7" s="1"/>
  <c r="D668" i="7"/>
  <c r="E668" i="7" s="1"/>
  <c r="D666" i="7"/>
  <c r="E666" i="7" s="1"/>
  <c r="D664" i="7"/>
  <c r="E664" i="7" s="1"/>
  <c r="D662" i="7"/>
  <c r="E662" i="7" s="1"/>
  <c r="D660" i="7"/>
  <c r="E660" i="7" s="1"/>
  <c r="D658" i="7"/>
  <c r="E658" i="7" s="1"/>
  <c r="D656" i="7"/>
  <c r="E656" i="7" s="1"/>
  <c r="D654" i="7"/>
  <c r="E654" i="7" s="1"/>
  <c r="D649" i="7"/>
  <c r="E649" i="7" s="1"/>
  <c r="D647" i="7"/>
  <c r="E647" i="7" s="1"/>
  <c r="D637" i="7"/>
  <c r="E637" i="7" s="1"/>
  <c r="D622" i="7"/>
  <c r="E622" i="7" s="1"/>
  <c r="D617" i="7"/>
  <c r="E617" i="7" s="1"/>
  <c r="D615" i="7"/>
  <c r="E615" i="7" s="1"/>
  <c r="D605" i="7"/>
  <c r="E605" i="7" s="1"/>
  <c r="D590" i="7"/>
  <c r="E590" i="7" s="1"/>
  <c r="D581" i="7"/>
  <c r="E581" i="7" s="1"/>
  <c r="D216" i="7"/>
  <c r="E216" i="7" s="1"/>
  <c r="D208" i="7"/>
  <c r="E208" i="7" s="1"/>
  <c r="D220" i="7"/>
  <c r="E220" i="7" s="1"/>
  <c r="D212" i="7"/>
  <c r="E212" i="7" s="1"/>
  <c r="D141" i="7"/>
  <c r="E141" i="7" s="1"/>
  <c r="D139" i="7"/>
  <c r="E139" i="7" s="1"/>
  <c r="D125" i="7"/>
  <c r="E125" i="7" s="1"/>
  <c r="D123" i="7"/>
  <c r="E123" i="7" s="1"/>
  <c r="D128" i="7"/>
  <c r="E128" i="7" s="1"/>
  <c r="D134" i="7"/>
  <c r="E134" i="7" s="1"/>
  <c r="D126" i="7"/>
  <c r="E126" i="7" s="1"/>
  <c r="D118" i="7"/>
  <c r="E118" i="7" s="1"/>
  <c r="D110" i="7"/>
  <c r="E110" i="7" s="1"/>
  <c r="D102" i="7"/>
  <c r="E102" i="7" s="1"/>
  <c r="D687" i="7"/>
  <c r="E687" i="7" s="1"/>
  <c r="D685" i="7"/>
  <c r="E685" i="7" s="1"/>
  <c r="D683" i="7"/>
  <c r="E683" i="7" s="1"/>
  <c r="D681" i="7"/>
  <c r="E681" i="7" s="1"/>
  <c r="D679" i="7"/>
  <c r="E679" i="7" s="1"/>
  <c r="D677" i="7"/>
  <c r="E677" i="7" s="1"/>
  <c r="D675" i="7"/>
  <c r="E675" i="7" s="1"/>
  <c r="D673" i="7"/>
  <c r="E673" i="7" s="1"/>
  <c r="D671" i="7"/>
  <c r="E671" i="7" s="1"/>
  <c r="D669" i="7"/>
  <c r="E669" i="7" s="1"/>
  <c r="D667" i="7"/>
  <c r="E667" i="7" s="1"/>
  <c r="D665" i="7"/>
  <c r="E665" i="7" s="1"/>
  <c r="D663" i="7"/>
  <c r="E663" i="7" s="1"/>
  <c r="D661" i="7"/>
  <c r="E661" i="7" s="1"/>
  <c r="D659" i="7"/>
  <c r="E659" i="7" s="1"/>
  <c r="D657" i="7"/>
  <c r="E657" i="7" s="1"/>
  <c r="D655" i="7"/>
  <c r="E655" i="7" s="1"/>
  <c r="D650" i="7"/>
  <c r="E650" i="7" s="1"/>
  <c r="D642" i="7"/>
  <c r="E642" i="7" s="1"/>
  <c r="D634" i="7"/>
  <c r="E634" i="7" s="1"/>
  <c r="D626" i="7"/>
  <c r="E626" i="7" s="1"/>
  <c r="D618" i="7"/>
  <c r="E618" i="7" s="1"/>
  <c r="D610" i="7"/>
  <c r="E610" i="7" s="1"/>
  <c r="D602" i="7"/>
  <c r="E602" i="7" s="1"/>
  <c r="D594" i="7"/>
  <c r="E594" i="7" s="1"/>
  <c r="D580" i="7"/>
  <c r="E580" i="7" s="1"/>
  <c r="D97" i="7"/>
  <c r="E97" i="7" s="1"/>
  <c r="D95" i="7"/>
  <c r="E95" i="7" s="1"/>
  <c r="D93" i="7"/>
  <c r="E93" i="7" s="1"/>
  <c r="D91" i="7"/>
  <c r="E91" i="7" s="1"/>
  <c r="D89" i="7"/>
  <c r="E89" i="7" s="1"/>
  <c r="D87" i="7"/>
  <c r="E87" i="7" s="1"/>
  <c r="D85" i="7"/>
  <c r="E85" i="7" s="1"/>
  <c r="D83" i="7"/>
  <c r="E83" i="7" s="1"/>
  <c r="D81" i="7"/>
  <c r="E81" i="7" s="1"/>
  <c r="D79" i="7"/>
  <c r="E79" i="7" s="1"/>
  <c r="D77" i="7"/>
  <c r="E77" i="7" s="1"/>
  <c r="D75" i="7"/>
  <c r="E75" i="7" s="1"/>
  <c r="D73" i="7"/>
  <c r="E73" i="7" s="1"/>
  <c r="D71" i="7"/>
  <c r="E71" i="7" s="1"/>
  <c r="D69" i="7"/>
  <c r="E69" i="7" s="1"/>
  <c r="D67" i="7"/>
  <c r="E67" i="7" s="1"/>
  <c r="D65" i="7"/>
  <c r="E65" i="7" s="1"/>
  <c r="D63" i="7"/>
  <c r="E63" i="7" s="1"/>
  <c r="D61" i="7"/>
  <c r="E61" i="7" s="1"/>
  <c r="D59" i="7"/>
  <c r="E59" i="7" s="1"/>
  <c r="D57" i="7"/>
  <c r="E57" i="7" s="1"/>
  <c r="D55" i="7"/>
  <c r="E55" i="7" s="1"/>
  <c r="D53" i="7"/>
  <c r="E53" i="7" s="1"/>
  <c r="D51" i="7"/>
  <c r="E51" i="7" s="1"/>
  <c r="D49" i="7"/>
  <c r="E49" i="7" s="1"/>
  <c r="D47" i="7"/>
  <c r="E47" i="7" s="1"/>
  <c r="D45" i="7"/>
  <c r="E45" i="7" s="1"/>
  <c r="D43" i="7"/>
  <c r="E43" i="7" s="1"/>
  <c r="D41" i="7"/>
  <c r="E41" i="7" s="1"/>
  <c r="D39" i="7"/>
  <c r="E39" i="7" s="1"/>
  <c r="D37" i="7"/>
  <c r="E37" i="7" s="1"/>
  <c r="D35" i="7"/>
  <c r="E35" i="7" s="1"/>
  <c r="D33" i="7"/>
  <c r="E33" i="7" s="1"/>
  <c r="D31" i="7"/>
  <c r="E31" i="7" s="1"/>
  <c r="D29" i="7"/>
  <c r="E29" i="7" s="1"/>
  <c r="D27" i="7"/>
  <c r="E27" i="7" s="1"/>
  <c r="D25" i="7"/>
  <c r="E25" i="7" s="1"/>
  <c r="D23" i="7"/>
  <c r="E23" i="7" s="1"/>
  <c r="D21" i="7"/>
  <c r="E21" i="7" s="1"/>
  <c r="D19" i="7"/>
  <c r="E19" i="7" s="1"/>
  <c r="D17" i="7"/>
  <c r="E17" i="7" s="1"/>
  <c r="D15" i="7"/>
  <c r="E15" i="7" s="1"/>
  <c r="D14" i="7"/>
  <c r="E14" i="7" s="1"/>
  <c r="B10" i="2"/>
  <c r="C7" i="2" s="1"/>
  <c r="C9" i="2" s="1"/>
  <c r="B6" i="4"/>
  <c r="B8" i="4" s="1"/>
  <c r="B3" i="3"/>
  <c r="B4" i="3"/>
  <c r="B6" i="3" s="1"/>
  <c r="B7" i="3" s="1"/>
  <c r="B1020" i="7" l="1"/>
  <c r="B1021" i="7"/>
  <c r="B1019" i="7"/>
  <c r="B1018" i="7"/>
  <c r="B1016" i="7"/>
  <c r="B1017" i="7"/>
  <c r="C8" i="2"/>
  <c r="C10" i="2" s="1"/>
  <c r="C13" i="2" s="1"/>
  <c r="D7" i="2" l="1"/>
  <c r="D9" i="2" s="1"/>
  <c r="C14" i="2"/>
  <c r="C5" i="4"/>
  <c r="C11" i="4"/>
  <c r="D8" i="2" l="1"/>
  <c r="D10" i="2" s="1"/>
  <c r="E7" i="2" s="1"/>
  <c r="C6" i="5"/>
  <c r="B16" i="2"/>
  <c r="C11" i="5"/>
  <c r="C12" i="5" s="1"/>
  <c r="C2" i="3"/>
  <c r="C5" i="5"/>
  <c r="C12" i="4"/>
  <c r="C7" i="5"/>
  <c r="D13" i="2" l="1"/>
  <c r="D11" i="4" s="1"/>
  <c r="E9" i="2"/>
  <c r="E8" i="2"/>
  <c r="C5" i="3"/>
  <c r="C3" i="3"/>
  <c r="C4" i="3" s="1"/>
  <c r="D5" i="4" l="1"/>
  <c r="D6" i="5" s="1"/>
  <c r="D14" i="2"/>
  <c r="C16" i="2" s="1"/>
  <c r="E10" i="2"/>
  <c r="E13" i="2" s="1"/>
  <c r="D7" i="5"/>
  <c r="D12" i="4"/>
  <c r="C6" i="3"/>
  <c r="C7" i="3" s="1"/>
  <c r="D11" i="5" l="1"/>
  <c r="D12" i="5" s="1"/>
  <c r="D2" i="3"/>
  <c r="D3" i="3" s="1"/>
  <c r="D4" i="3" s="1"/>
  <c r="D5" i="5"/>
  <c r="F7" i="2"/>
  <c r="F8" i="2" s="1"/>
  <c r="C4" i="5"/>
  <c r="C4" i="4"/>
  <c r="C6" i="4" s="1"/>
  <c r="C8" i="4" s="1"/>
  <c r="C15" i="4"/>
  <c r="C16" i="4" s="1"/>
  <c r="C18" i="4" s="1"/>
  <c r="E11" i="4"/>
  <c r="E14" i="2"/>
  <c r="E5" i="4"/>
  <c r="E6" i="5" s="1"/>
  <c r="D5" i="3" l="1"/>
  <c r="F9" i="2"/>
  <c r="F10" i="2" s="1"/>
  <c r="G7" i="2" s="1"/>
  <c r="D6" i="3"/>
  <c r="D7" i="3" s="1"/>
  <c r="D15" i="4" s="1"/>
  <c r="D16" i="4" s="1"/>
  <c r="D18" i="4" s="1"/>
  <c r="C8" i="5"/>
  <c r="C18" i="5" s="1"/>
  <c r="C20" i="5" s="1"/>
  <c r="D19" i="5" s="1"/>
  <c r="D16" i="2"/>
  <c r="E5" i="5"/>
  <c r="E11" i="5"/>
  <c r="E12" i="5" s="1"/>
  <c r="E2" i="3"/>
  <c r="E7" i="5"/>
  <c r="E12" i="4"/>
  <c r="F13" i="2" l="1"/>
  <c r="F14" i="2" s="1"/>
  <c r="D4" i="4"/>
  <c r="D6" i="4" s="1"/>
  <c r="D8" i="4" s="1"/>
  <c r="D4" i="5"/>
  <c r="D8" i="5" s="1"/>
  <c r="D18" i="5" s="1"/>
  <c r="D20" i="5" s="1"/>
  <c r="E19" i="5" s="1"/>
  <c r="G8" i="2"/>
  <c r="G9" i="2"/>
  <c r="E3" i="3"/>
  <c r="E4" i="3" s="1"/>
  <c r="E5" i="3"/>
  <c r="F11" i="4" l="1"/>
  <c r="F12" i="4" s="1"/>
  <c r="F5" i="4"/>
  <c r="F6" i="5" s="1"/>
  <c r="G10" i="2"/>
  <c r="G13" i="2" s="1"/>
  <c r="E6" i="3"/>
  <c r="E7" i="3" s="1"/>
  <c r="E16" i="2"/>
  <c r="F5" i="5"/>
  <c r="F11" i="5"/>
  <c r="F12" i="5" s="1"/>
  <c r="F2" i="3"/>
  <c r="F7" i="5" l="1"/>
  <c r="H7" i="2"/>
  <c r="H9" i="2" s="1"/>
  <c r="F5" i="3"/>
  <c r="F3" i="3"/>
  <c r="F4" i="3" s="1"/>
  <c r="E4" i="4"/>
  <c r="E6" i="4" s="1"/>
  <c r="E8" i="4" s="1"/>
  <c r="E15" i="4"/>
  <c r="E16" i="4" s="1"/>
  <c r="E18" i="4" s="1"/>
  <c r="E4" i="5"/>
  <c r="E8" i="5" s="1"/>
  <c r="E18" i="5" s="1"/>
  <c r="E20" i="5" s="1"/>
  <c r="F19" i="5" s="1"/>
  <c r="G14" i="2"/>
  <c r="G5" i="4"/>
  <c r="G11" i="4"/>
  <c r="H8" i="2" l="1"/>
  <c r="H10" i="2" s="1"/>
  <c r="F6" i="3"/>
  <c r="F7" i="3" s="1"/>
  <c r="F15" i="4" s="1"/>
  <c r="F16" i="4" s="1"/>
  <c r="F18" i="4" s="1"/>
  <c r="G6" i="5"/>
  <c r="G12" i="4"/>
  <c r="G7" i="5"/>
  <c r="G2" i="3"/>
  <c r="F16" i="2"/>
  <c r="G5" i="5"/>
  <c r="G11" i="5"/>
  <c r="G12" i="5" s="1"/>
  <c r="F4" i="4" l="1"/>
  <c r="F6" i="4" s="1"/>
  <c r="F8" i="4" s="1"/>
  <c r="I7" i="2"/>
  <c r="I9" i="2" s="1"/>
  <c r="H13" i="2"/>
  <c r="H14" i="2" s="1"/>
  <c r="F4" i="5"/>
  <c r="F8" i="5" s="1"/>
  <c r="F18" i="5" s="1"/>
  <c r="F20" i="5" s="1"/>
  <c r="G19" i="5" s="1"/>
  <c r="G3" i="3"/>
  <c r="G4" i="3" s="1"/>
  <c r="G5" i="3"/>
  <c r="I8" i="2" l="1"/>
  <c r="I10" i="2" s="1"/>
  <c r="H11" i="4"/>
  <c r="H7" i="5" s="1"/>
  <c r="H5" i="4"/>
  <c r="H6" i="5" s="1"/>
  <c r="G6" i="3"/>
  <c r="G7" i="3" s="1"/>
  <c r="G4" i="5" s="1"/>
  <c r="G8" i="5" s="1"/>
  <c r="G18" i="5" s="1"/>
  <c r="G20" i="5" s="1"/>
  <c r="H19" i="5" s="1"/>
  <c r="H5" i="5"/>
  <c r="H11" i="5"/>
  <c r="H12" i="5" s="1"/>
  <c r="H2" i="3"/>
  <c r="G16" i="2"/>
  <c r="H12" i="4" l="1"/>
  <c r="J7" i="2"/>
  <c r="J8" i="2" s="1"/>
  <c r="I13" i="2"/>
  <c r="I5" i="4" s="1"/>
  <c r="I6" i="5" s="1"/>
  <c r="G15" i="4"/>
  <c r="G16" i="4" s="1"/>
  <c r="G18" i="4" s="1"/>
  <c r="G4" i="4"/>
  <c r="G6" i="4" s="1"/>
  <c r="G8" i="4" s="1"/>
  <c r="H3" i="3"/>
  <c r="H4" i="3" s="1"/>
  <c r="H5" i="3"/>
  <c r="I11" i="4" l="1"/>
  <c r="I12" i="4" s="1"/>
  <c r="I14" i="2"/>
  <c r="I5" i="5" s="1"/>
  <c r="J9" i="2"/>
  <c r="J10" i="2" s="1"/>
  <c r="I2" i="3"/>
  <c r="H6" i="3"/>
  <c r="H7" i="3" s="1"/>
  <c r="I7" i="5" l="1"/>
  <c r="H16" i="2"/>
  <c r="I11" i="5"/>
  <c r="I12" i="5" s="1"/>
  <c r="H15" i="4"/>
  <c r="H16" i="4" s="1"/>
  <c r="H18" i="4" s="1"/>
  <c r="H4" i="5"/>
  <c r="H8" i="5" s="1"/>
  <c r="H18" i="5" s="1"/>
  <c r="H20" i="5" s="1"/>
  <c r="I19" i="5" s="1"/>
  <c r="H4" i="4"/>
  <c r="H6" i="4" s="1"/>
  <c r="H8" i="4" s="1"/>
  <c r="I3" i="3"/>
  <c r="I4" i="3" s="1"/>
  <c r="I5" i="3"/>
  <c r="K7" i="2"/>
  <c r="J13" i="2"/>
  <c r="I6" i="3" l="1"/>
  <c r="I7" i="3" s="1"/>
  <c r="I4" i="4" s="1"/>
  <c r="I6" i="4" s="1"/>
  <c r="I8" i="4" s="1"/>
  <c r="K8" i="2"/>
  <c r="K9" i="2"/>
  <c r="J5" i="4"/>
  <c r="J6" i="5" s="1"/>
  <c r="J11" i="4"/>
  <c r="J14" i="2"/>
  <c r="I4" i="5" l="1"/>
  <c r="I8" i="5" s="1"/>
  <c r="I18" i="5" s="1"/>
  <c r="I20" i="5" s="1"/>
  <c r="J19" i="5" s="1"/>
  <c r="I15" i="4"/>
  <c r="I16" i="4" s="1"/>
  <c r="I18" i="4" s="1"/>
  <c r="K10" i="2"/>
  <c r="K13" i="2" s="1"/>
  <c r="J12" i="4"/>
  <c r="J7" i="5"/>
  <c r="I16" i="2"/>
  <c r="J5" i="5"/>
  <c r="J11" i="5"/>
  <c r="J12" i="5" s="1"/>
  <c r="J2" i="3"/>
  <c r="L7" i="2" l="1"/>
  <c r="L9" i="2" s="1"/>
  <c r="K14" i="2"/>
  <c r="K5" i="4"/>
  <c r="K11" i="4"/>
  <c r="J5" i="3"/>
  <c r="J3" i="3"/>
  <c r="J4" i="3" s="1"/>
  <c r="L8" i="2" l="1"/>
  <c r="L10" i="2" s="1"/>
  <c r="J6" i="3"/>
  <c r="J7" i="3" s="1"/>
  <c r="J15" i="4" s="1"/>
  <c r="J16" i="4" s="1"/>
  <c r="J18" i="4" s="1"/>
  <c r="K7" i="5"/>
  <c r="K12" i="4"/>
  <c r="K6" i="5"/>
  <c r="K2" i="3"/>
  <c r="J16" i="2"/>
  <c r="K5" i="5"/>
  <c r="K11" i="5"/>
  <c r="K12" i="5" s="1"/>
  <c r="M7" i="2" l="1"/>
  <c r="M9" i="2" s="1"/>
  <c r="L13" i="2"/>
  <c r="L11" i="4" s="1"/>
  <c r="J4" i="4"/>
  <c r="J6" i="4" s="1"/>
  <c r="J8" i="4" s="1"/>
  <c r="J4" i="5"/>
  <c r="J8" i="5" s="1"/>
  <c r="J18" i="5" s="1"/>
  <c r="J20" i="5" s="1"/>
  <c r="K19" i="5" s="1"/>
  <c r="K5" i="3"/>
  <c r="K3" i="3"/>
  <c r="K4" i="3" s="1"/>
  <c r="L14" i="2"/>
  <c r="L5" i="4"/>
  <c r="L6" i="5" s="1"/>
  <c r="M8" i="2" l="1"/>
  <c r="M10" i="2" s="1"/>
  <c r="N7" i="2" s="1"/>
  <c r="K6" i="3"/>
  <c r="K7" i="3" s="1"/>
  <c r="K15" i="4" s="1"/>
  <c r="K16" i="4" s="1"/>
  <c r="K18" i="4" s="1"/>
  <c r="L5" i="5"/>
  <c r="L11" i="5"/>
  <c r="L12" i="5" s="1"/>
  <c r="L2" i="3"/>
  <c r="K16" i="2"/>
  <c r="L12" i="4"/>
  <c r="L7" i="5"/>
  <c r="M13" i="2" l="1"/>
  <c r="M5" i="4" s="1"/>
  <c r="M6" i="5" s="1"/>
  <c r="K4" i="5"/>
  <c r="K8" i="5" s="1"/>
  <c r="K18" i="5" s="1"/>
  <c r="K20" i="5" s="1"/>
  <c r="L19" i="5" s="1"/>
  <c r="K4" i="4"/>
  <c r="K6" i="4" s="1"/>
  <c r="K8" i="4" s="1"/>
  <c r="N8" i="2"/>
  <c r="N9" i="2"/>
  <c r="L3" i="3"/>
  <c r="L4" i="3" s="1"/>
  <c r="L5" i="3"/>
  <c r="M11" i="4" l="1"/>
  <c r="M12" i="4" s="1"/>
  <c r="M14" i="2"/>
  <c r="N10" i="2"/>
  <c r="O7" i="2" s="1"/>
  <c r="L6" i="3"/>
  <c r="L7" i="3" s="1"/>
  <c r="M7" i="5" l="1"/>
  <c r="L16" i="2"/>
  <c r="M5" i="5"/>
  <c r="M2" i="3"/>
  <c r="M5" i="3" s="1"/>
  <c r="M11" i="5"/>
  <c r="M12" i="5" s="1"/>
  <c r="N13" i="2"/>
  <c r="N11" i="4" s="1"/>
  <c r="O9" i="2"/>
  <c r="O8" i="2"/>
  <c r="L15" i="4"/>
  <c r="L16" i="4" s="1"/>
  <c r="L18" i="4" s="1"/>
  <c r="L4" i="5"/>
  <c r="L8" i="5" s="1"/>
  <c r="L18" i="5" s="1"/>
  <c r="L20" i="5" s="1"/>
  <c r="M19" i="5" s="1"/>
  <c r="L4" i="4"/>
  <c r="L6" i="4" s="1"/>
  <c r="L8" i="4" s="1"/>
  <c r="M3" i="3" l="1"/>
  <c r="M4" i="3" s="1"/>
  <c r="M6" i="3" s="1"/>
  <c r="M7" i="3" s="1"/>
  <c r="N5" i="4"/>
  <c r="N6" i="5" s="1"/>
  <c r="N14" i="2"/>
  <c r="N5" i="5" s="1"/>
  <c r="N12" i="4"/>
  <c r="N7" i="5"/>
  <c r="O10" i="2"/>
  <c r="N2" i="3" l="1"/>
  <c r="N3" i="3" s="1"/>
  <c r="N4" i="3" s="1"/>
  <c r="M16" i="2"/>
  <c r="N11" i="5"/>
  <c r="N12" i="5" s="1"/>
  <c r="M4" i="5"/>
  <c r="M8" i="5" s="1"/>
  <c r="M18" i="5" s="1"/>
  <c r="M20" i="5" s="1"/>
  <c r="M15" i="4"/>
  <c r="M16" i="4" s="1"/>
  <c r="M18" i="4" s="1"/>
  <c r="M4" i="4"/>
  <c r="M6" i="4" s="1"/>
  <c r="M8" i="4" s="1"/>
  <c r="O13" i="2"/>
  <c r="P7" i="2"/>
  <c r="N5" i="3"/>
  <c r="N19" i="5" l="1"/>
  <c r="N6" i="3"/>
  <c r="N7" i="3" s="1"/>
  <c r="P8" i="2"/>
  <c r="P9" i="2"/>
  <c r="O5" i="4"/>
  <c r="O11" i="4"/>
  <c r="O14" i="2"/>
  <c r="O6" i="5" l="1"/>
  <c r="P10" i="2"/>
  <c r="O2" i="3"/>
  <c r="N16" i="2"/>
  <c r="O5" i="5"/>
  <c r="O11" i="5"/>
  <c r="O12" i="5" s="1"/>
  <c r="O7" i="5"/>
  <c r="O12" i="4"/>
  <c r="N4" i="5"/>
  <c r="N8" i="5" s="1"/>
  <c r="N18" i="5" s="1"/>
  <c r="N20" i="5" s="1"/>
  <c r="O19" i="5" s="1"/>
  <c r="N4" i="4"/>
  <c r="N6" i="4" s="1"/>
  <c r="N8" i="4" s="1"/>
  <c r="N15" i="4"/>
  <c r="N16" i="4" s="1"/>
  <c r="N18" i="4" s="1"/>
  <c r="O5" i="3" l="1"/>
  <c r="O3" i="3"/>
  <c r="O4" i="3" s="1"/>
  <c r="Q7" i="2"/>
  <c r="P13" i="2"/>
  <c r="Q9" i="2" l="1"/>
  <c r="Q8" i="2"/>
  <c r="O6" i="3"/>
  <c r="O7" i="3" s="1"/>
  <c r="P5" i="4"/>
  <c r="P6" i="5" s="1"/>
  <c r="P11" i="4"/>
  <c r="P14" i="2"/>
  <c r="Q10" i="2" l="1"/>
  <c r="Q13" i="2" s="1"/>
  <c r="O4" i="5"/>
  <c r="O8" i="5" s="1"/>
  <c r="O18" i="5" s="1"/>
  <c r="O20" i="5" s="1"/>
  <c r="P19" i="5" s="1"/>
  <c r="O4" i="4"/>
  <c r="O6" i="4" s="1"/>
  <c r="O8" i="4" s="1"/>
  <c r="O15" i="4"/>
  <c r="O16" i="4" s="1"/>
  <c r="O18" i="4" s="1"/>
  <c r="P5" i="5"/>
  <c r="P11" i="5"/>
  <c r="P12" i="5" s="1"/>
  <c r="P2" i="3"/>
  <c r="O16" i="2"/>
  <c r="P7" i="5"/>
  <c r="P12" i="4"/>
  <c r="R7" i="2" l="1"/>
  <c r="R9" i="2" s="1"/>
  <c r="P3" i="3"/>
  <c r="P4" i="3" s="1"/>
  <c r="P5" i="3"/>
  <c r="Q11" i="4"/>
  <c r="Q5" i="4"/>
  <c r="Q6" i="5" s="1"/>
  <c r="Q14" i="2"/>
  <c r="R8" i="2" l="1"/>
  <c r="R10" i="2" s="1"/>
  <c r="R13" i="2" s="1"/>
  <c r="P6" i="3"/>
  <c r="P7" i="3" s="1"/>
  <c r="P4" i="5" s="1"/>
  <c r="P8" i="5" s="1"/>
  <c r="P18" i="5" s="1"/>
  <c r="P20" i="5" s="1"/>
  <c r="Q19" i="5" s="1"/>
  <c r="Q12" i="4"/>
  <c r="Q7" i="5"/>
  <c r="P16" i="2"/>
  <c r="Q5" i="5"/>
  <c r="Q11" i="5"/>
  <c r="Q12" i="5" s="1"/>
  <c r="Q2" i="3"/>
  <c r="P15" i="4" l="1"/>
  <c r="P16" i="4" s="1"/>
  <c r="P18" i="4" s="1"/>
  <c r="P4" i="4"/>
  <c r="P6" i="4" s="1"/>
  <c r="P8" i="4" s="1"/>
  <c r="S7" i="2"/>
  <c r="S9" i="2" s="1"/>
  <c r="Q3" i="3"/>
  <c r="Q4" i="3" s="1"/>
  <c r="Q5" i="3"/>
  <c r="R5" i="4"/>
  <c r="R6" i="5" s="1"/>
  <c r="R11" i="4"/>
  <c r="R14" i="2"/>
  <c r="S8" i="2" l="1"/>
  <c r="S10" i="2" s="1"/>
  <c r="S13" i="2" s="1"/>
  <c r="Q6" i="3"/>
  <c r="Q7" i="3" s="1"/>
  <c r="Q4" i="5" s="1"/>
  <c r="Q8" i="5" s="1"/>
  <c r="Q18" i="5" s="1"/>
  <c r="Q20" i="5" s="1"/>
  <c r="R19" i="5" s="1"/>
  <c r="Q16" i="2"/>
  <c r="R5" i="5"/>
  <c r="R11" i="5"/>
  <c r="R12" i="5" s="1"/>
  <c r="R2" i="3"/>
  <c r="R12" i="4"/>
  <c r="R7" i="5"/>
  <c r="Q15" i="4" l="1"/>
  <c r="Q16" i="4" s="1"/>
  <c r="Q18" i="4" s="1"/>
  <c r="T7" i="2"/>
  <c r="T8" i="2" s="1"/>
  <c r="Q4" i="4"/>
  <c r="Q6" i="4" s="1"/>
  <c r="Q8" i="4" s="1"/>
  <c r="S5" i="4"/>
  <c r="S11" i="4"/>
  <c r="S14" i="2"/>
  <c r="R5" i="3"/>
  <c r="R3" i="3"/>
  <c r="R4" i="3" s="1"/>
  <c r="T9" i="2" l="1"/>
  <c r="T10" i="2" s="1"/>
  <c r="S2" i="3"/>
  <c r="R16" i="2"/>
  <c r="S5" i="5"/>
  <c r="S11" i="5"/>
  <c r="S12" i="5" s="1"/>
  <c r="R6" i="3"/>
  <c r="R7" i="3" s="1"/>
  <c r="S7" i="5"/>
  <c r="S12" i="4"/>
  <c r="S6" i="5"/>
  <c r="T13" i="2" l="1"/>
  <c r="T11" i="4" s="1"/>
  <c r="U7" i="2"/>
  <c r="U9" i="2" s="1"/>
  <c r="R4" i="5"/>
  <c r="R8" i="5" s="1"/>
  <c r="R18" i="5" s="1"/>
  <c r="R20" i="5" s="1"/>
  <c r="S19" i="5" s="1"/>
  <c r="R4" i="4"/>
  <c r="R6" i="4" s="1"/>
  <c r="R8" i="4" s="1"/>
  <c r="R15" i="4"/>
  <c r="R16" i="4" s="1"/>
  <c r="R18" i="4" s="1"/>
  <c r="S5" i="3"/>
  <c r="S3" i="3"/>
  <c r="S4" i="3" s="1"/>
  <c r="T5" i="4" l="1"/>
  <c r="T6" i="5" s="1"/>
  <c r="U8" i="2"/>
  <c r="U10" i="2" s="1"/>
  <c r="V7" i="2" s="1"/>
  <c r="T14" i="2"/>
  <c r="T11" i="5" s="1"/>
  <c r="T12" i="5" s="1"/>
  <c r="S6" i="3"/>
  <c r="S7" i="3" s="1"/>
  <c r="S4" i="5" s="1"/>
  <c r="S8" i="5" s="1"/>
  <c r="S18" i="5" s="1"/>
  <c r="S20" i="5" s="1"/>
  <c r="T19" i="5" s="1"/>
  <c r="T7" i="5"/>
  <c r="T12" i="4"/>
  <c r="T5" i="5" l="1"/>
  <c r="S15" i="4"/>
  <c r="S16" i="4" s="1"/>
  <c r="S18" i="4" s="1"/>
  <c r="T2" i="3"/>
  <c r="T3" i="3" s="1"/>
  <c r="T4" i="3" s="1"/>
  <c r="S16" i="2"/>
  <c r="S4" i="4"/>
  <c r="S6" i="4" s="1"/>
  <c r="S8" i="4" s="1"/>
  <c r="U13" i="2"/>
  <c r="U14" i="2" s="1"/>
  <c r="V8" i="2"/>
  <c r="V9" i="2"/>
  <c r="U5" i="4" l="1"/>
  <c r="U6" i="5" s="1"/>
  <c r="T5" i="3"/>
  <c r="T6" i="3" s="1"/>
  <c r="T7" i="3" s="1"/>
  <c r="U11" i="4"/>
  <c r="U12" i="4" s="1"/>
  <c r="V10" i="2"/>
  <c r="T16" i="2"/>
  <c r="U5" i="5"/>
  <c r="U11" i="5"/>
  <c r="U12" i="5" s="1"/>
  <c r="U2" i="3"/>
  <c r="U7" i="5" l="1"/>
  <c r="U3" i="3"/>
  <c r="U4" i="3" s="1"/>
  <c r="U5" i="3"/>
  <c r="T15" i="4"/>
  <c r="T16" i="4" s="1"/>
  <c r="T18" i="4" s="1"/>
  <c r="T4" i="5"/>
  <c r="T8" i="5" s="1"/>
  <c r="T18" i="5" s="1"/>
  <c r="T20" i="5" s="1"/>
  <c r="U19" i="5" s="1"/>
  <c r="T4" i="4"/>
  <c r="T6" i="4" s="1"/>
  <c r="T8" i="4" s="1"/>
  <c r="W7" i="2"/>
  <c r="V13" i="2"/>
  <c r="U6" i="3" l="1"/>
  <c r="U7" i="3" s="1"/>
  <c r="U4" i="5" s="1"/>
  <c r="U8" i="5" s="1"/>
  <c r="U18" i="5" s="1"/>
  <c r="U20" i="5" s="1"/>
  <c r="V19" i="5" s="1"/>
  <c r="W9" i="2"/>
  <c r="W8" i="2"/>
  <c r="V5" i="4"/>
  <c r="V6" i="5" s="1"/>
  <c r="V11" i="4"/>
  <c r="V14" i="2"/>
  <c r="W10" i="2" l="1"/>
  <c r="W13" i="2" s="1"/>
  <c r="U15" i="4"/>
  <c r="U16" i="4" s="1"/>
  <c r="U18" i="4" s="1"/>
  <c r="U4" i="4"/>
  <c r="U6" i="4" s="1"/>
  <c r="U8" i="4" s="1"/>
  <c r="U16" i="2"/>
  <c r="V5" i="5"/>
  <c r="V11" i="5"/>
  <c r="V12" i="5" s="1"/>
  <c r="V2" i="3"/>
  <c r="V12" i="4"/>
  <c r="V7" i="5"/>
  <c r="X7" i="2" l="1"/>
  <c r="X9" i="2" s="1"/>
  <c r="V5" i="3"/>
  <c r="V3" i="3"/>
  <c r="V4" i="3" s="1"/>
  <c r="W5" i="4"/>
  <c r="W11" i="4"/>
  <c r="W14" i="2"/>
  <c r="X8" i="2" l="1"/>
  <c r="X10" i="2" s="1"/>
  <c r="X13" i="2" s="1"/>
  <c r="V6" i="3"/>
  <c r="V7" i="3" s="1"/>
  <c r="V4" i="5" s="1"/>
  <c r="V8" i="5" s="1"/>
  <c r="V18" i="5" s="1"/>
  <c r="V20" i="5" s="1"/>
  <c r="W19" i="5" s="1"/>
  <c r="W2" i="3"/>
  <c r="V16" i="2"/>
  <c r="W5" i="5"/>
  <c r="W11" i="5"/>
  <c r="W12" i="5" s="1"/>
  <c r="W12" i="4"/>
  <c r="W7" i="5"/>
  <c r="W6" i="5"/>
  <c r="Y7" i="2" l="1"/>
  <c r="Y9" i="2" s="1"/>
  <c r="V15" i="4"/>
  <c r="V16" i="4" s="1"/>
  <c r="V18" i="4" s="1"/>
  <c r="V4" i="4"/>
  <c r="V6" i="4" s="1"/>
  <c r="V8" i="4" s="1"/>
  <c r="W3" i="3"/>
  <c r="W4" i="3" s="1"/>
  <c r="W5" i="3"/>
  <c r="X5" i="4"/>
  <c r="X6" i="5" s="1"/>
  <c r="X11" i="4"/>
  <c r="X14" i="2"/>
  <c r="Y8" i="2" l="1"/>
  <c r="Y10" i="2" s="1"/>
  <c r="Y13" i="2" s="1"/>
  <c r="Y11" i="4" s="1"/>
  <c r="W6" i="3"/>
  <c r="W7" i="3" s="1"/>
  <c r="X5" i="5"/>
  <c r="X11" i="5"/>
  <c r="X12" i="5" s="1"/>
  <c r="X2" i="3"/>
  <c r="W16" i="2"/>
  <c r="X12" i="4"/>
  <c r="X7" i="5"/>
  <c r="Y14" i="2" l="1"/>
  <c r="Y5" i="4"/>
  <c r="Y6" i="5" s="1"/>
  <c r="X5" i="3"/>
  <c r="X3" i="3"/>
  <c r="X4" i="3" s="1"/>
  <c r="Y12" i="4"/>
  <c r="Y7" i="5"/>
  <c r="W4" i="5"/>
  <c r="W8" i="5" s="1"/>
  <c r="W18" i="5" s="1"/>
  <c r="W20" i="5" s="1"/>
  <c r="X19" i="5" s="1"/>
  <c r="W4" i="4"/>
  <c r="W6" i="4" s="1"/>
  <c r="W8" i="4" s="1"/>
  <c r="W15" i="4"/>
  <c r="W16" i="4" s="1"/>
  <c r="W18" i="4" s="1"/>
  <c r="Y5" i="5" l="1"/>
  <c r="Y2" i="3"/>
  <c r="Y5" i="3" s="1"/>
  <c r="Y11" i="5"/>
  <c r="Y12" i="5" s="1"/>
  <c r="X16" i="2"/>
  <c r="X6" i="3"/>
  <c r="X7" i="3" s="1"/>
  <c r="X15" i="4" s="1"/>
  <c r="X16" i="4" s="1"/>
  <c r="X18" i="4" s="1"/>
  <c r="Y3" i="3"/>
  <c r="Y4" i="3" s="1"/>
  <c r="Y6" i="3" l="1"/>
  <c r="Y7" i="3" s="1"/>
  <c r="X4" i="4"/>
  <c r="X6" i="4" s="1"/>
  <c r="X8" i="4" s="1"/>
  <c r="X4" i="5"/>
  <c r="X8" i="5" s="1"/>
  <c r="X18" i="5" s="1"/>
  <c r="X20" i="5" s="1"/>
  <c r="Y19" i="5" s="1"/>
  <c r="Y4" i="5" l="1"/>
  <c r="Y8" i="5" s="1"/>
  <c r="Y18" i="5" s="1"/>
  <c r="Y20" i="5" s="1"/>
  <c r="Y4" i="4"/>
  <c r="Y6" i="4" s="1"/>
  <c r="Y8" i="4" s="1"/>
  <c r="Y15" i="4"/>
  <c r="Y16" i="4" s="1"/>
  <c r="Y18" i="4" s="1"/>
</calcChain>
</file>

<file path=xl/sharedStrings.xml><?xml version="1.0" encoding="utf-8"?>
<sst xmlns="http://schemas.openxmlformats.org/spreadsheetml/2006/main" count="201" uniqueCount="124">
  <si>
    <t xml:space="preserve">MODEL ASSUMPTIONS </t>
  </si>
  <si>
    <t>Starting MRR</t>
  </si>
  <si>
    <t xml:space="preserve">Monthly Growth rate </t>
  </si>
  <si>
    <t>Annual Churn Rate</t>
  </si>
  <si>
    <t>Average Revenue Per User (ARPU)</t>
  </si>
  <si>
    <t>COST ASSUMPTIONS</t>
  </si>
  <si>
    <t>Gross Margin %</t>
  </si>
  <si>
    <t>Sales &amp; Marketing %</t>
  </si>
  <si>
    <t>R&amp;D %</t>
  </si>
  <si>
    <t xml:space="preserve">G&amp;A % </t>
  </si>
  <si>
    <t xml:space="preserve">MODEL SETTING </t>
  </si>
  <si>
    <t xml:space="preserve">Start Date </t>
  </si>
  <si>
    <t xml:space="preserve">Forecast Period (months) </t>
  </si>
  <si>
    <t xml:space="preserve">Discount Rate (WACC) </t>
  </si>
  <si>
    <t xml:space="preserve">REVENUE ASSUMPTIONS </t>
  </si>
  <si>
    <t>REVENUE MODEL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</si>
  <si>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</si>
  <si>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</si>
  <si>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</si>
  <si>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</si>
  <si>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</si>
  <si>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</si>
  <si>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</si>
  <si>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</si>
  <si>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</si>
  <si>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</si>
  <si>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</si>
  <si>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</si>
  <si>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</si>
  <si>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</si>
  <si>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</si>
  <si>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</si>
  <si>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</si>
  <si>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</si>
  <si>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</si>
  <si>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</si>
  <si>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</si>
  <si>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</si>
  <si>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</si>
  <si>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</si>
  <si>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</t>
  </si>
  <si>
    <t>Date</t>
  </si>
  <si>
    <t>Beginning Customers</t>
  </si>
  <si>
    <t>New Customers Added</t>
  </si>
  <si>
    <t>Churned Customers</t>
  </si>
  <si>
    <t>Ending Customers</t>
  </si>
  <si>
    <t>ARPU</t>
  </si>
  <si>
    <t>MRR</t>
  </si>
  <si>
    <t>ARR</t>
  </si>
  <si>
    <t>MRR Growth %</t>
  </si>
  <si>
    <t>Churn Rate (monthly)</t>
  </si>
  <si>
    <t>Values</t>
  </si>
  <si>
    <t>-</t>
  </si>
  <si>
    <t xml:space="preserve">PROFIT AND LOSS STATEMENT - INCOME STATEMENT </t>
  </si>
  <si>
    <t xml:space="preserve">REVENUE </t>
  </si>
  <si>
    <t>COST OF GOODS SOLD</t>
  </si>
  <si>
    <t>GROSS PROFIT</t>
  </si>
  <si>
    <t>OPERATING EXPENSE</t>
  </si>
  <si>
    <t xml:space="preserve">EBITDA </t>
  </si>
  <si>
    <t>NET INCOME</t>
  </si>
  <si>
    <t xml:space="preserve">Balance Sheet </t>
  </si>
  <si>
    <t>ASSETS</t>
  </si>
  <si>
    <t>Cash &amp; Equivalents</t>
  </si>
  <si>
    <t>Accounts Receivable</t>
  </si>
  <si>
    <t>Total Current Assets</t>
  </si>
  <si>
    <t>Total Assets</t>
  </si>
  <si>
    <t>LIABILITIES</t>
  </si>
  <si>
    <t>Deferred Revenue</t>
  </si>
  <si>
    <t>Total Current Liabilities</t>
  </si>
  <si>
    <t>EQUITY</t>
  </si>
  <si>
    <t>Retained Earnings</t>
  </si>
  <si>
    <t>Total Equity</t>
  </si>
  <si>
    <t>TOTAL LIABILITIES + EQUITY</t>
  </si>
  <si>
    <t>CASH FLOW STATEMENT</t>
  </si>
  <si>
    <t>OPERATING ACTIVITIES</t>
  </si>
  <si>
    <t>Net Income</t>
  </si>
  <si>
    <t>Add: Depreciation &amp; Amortization</t>
  </si>
  <si>
    <t>Change in Accounts Receivable</t>
  </si>
  <si>
    <t>Change in Deferred Revenue</t>
  </si>
  <si>
    <t>Total Operating Cash Flow</t>
  </si>
  <si>
    <t>INVESTING ACTIVITIES</t>
  </si>
  <si>
    <t>Capital Expenditure</t>
  </si>
  <si>
    <t>Total Investing Cash Flow</t>
  </si>
  <si>
    <t>FINANCING ACTIVITIES</t>
  </si>
  <si>
    <t>Equity Financing</t>
  </si>
  <si>
    <t>Total Financing Cash Flow</t>
  </si>
  <si>
    <t>NET CASH FLOW</t>
  </si>
  <si>
    <t>Opening Cash Balance</t>
  </si>
  <si>
    <t>CLOSING CASH BALANCE</t>
  </si>
  <si>
    <t>SCENARIO ANALYSIS</t>
  </si>
  <si>
    <t>ASSUMPTIONS</t>
  </si>
  <si>
    <t>Monthly Growth Rate</t>
  </si>
  <si>
    <t>BASE CASE</t>
  </si>
  <si>
    <t>BULL CASE</t>
  </si>
  <si>
    <t>BEAR CASE</t>
  </si>
  <si>
    <t>OUTPUTS</t>
  </si>
  <si>
    <t>Year 1 ARR</t>
  </si>
  <si>
    <t>Year 2 ARR</t>
  </si>
  <si>
    <t>Year 1 Net Income</t>
  </si>
  <si>
    <t>Year 2 Net Income</t>
  </si>
  <si>
    <t>Year 1 Cash Flow</t>
  </si>
  <si>
    <t>Year 2 Cash Flow</t>
  </si>
  <si>
    <t>MONTE CARLO SIMULATION</t>
  </si>
  <si>
    <t>PARAMETERS</t>
  </si>
  <si>
    <t>Mean Growth Rate</t>
  </si>
  <si>
    <t>Growth Rate Std Dev</t>
  </si>
  <si>
    <t>Mean Churn Rate</t>
  </si>
  <si>
    <t>Churn Rate Std Dev</t>
  </si>
  <si>
    <t>RESULTS</t>
  </si>
  <si>
    <t>Number of Simulations</t>
  </si>
  <si>
    <t>Simulation #</t>
  </si>
  <si>
    <t>Random Growth Rate</t>
  </si>
  <si>
    <t>Random Churn Rate</t>
  </si>
  <si>
    <t>Year 2 MRR</t>
  </si>
  <si>
    <t>SIMULATION RESULTS</t>
  </si>
  <si>
    <t>Mean Year 2 ARR</t>
  </si>
  <si>
    <t>P10 (worst 10%)</t>
  </si>
  <si>
    <t>P50 (median)</t>
  </si>
  <si>
    <t>P90 (best 10%)</t>
  </si>
  <si>
    <t>Min ARR</t>
  </si>
  <si>
    <t>Max ARR</t>
  </si>
  <si>
    <t>Starting ARR</t>
  </si>
  <si>
    <t>Net Income (Year 2)</t>
  </si>
  <si>
    <t>Cash Balance (Year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</si>
</sst>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_([$$-409]* #,##0_);_([$$-409]* \(#,##0\);_([$$-409]* &quot;-&quot;??_);_(@_)"/>
    <numFmt numFmtId="166" formatCode="_(&quot;$&quot;* #,##0_);_(&quot;$&quot;* \(#,##0\);_(&quot;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4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28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2" borderId="1" xfId="0" applyFill="1" applyBorder="1"/>
    <xf numFmtId="0" fontId="2" fillId="0" borderId="1" xfId="0" applyFont="1" applyBorder="1"/>
    <xf numFmtId="0" fontId="0" fillId="0" borderId="1" xfId="0" applyBorder="1"/>
    <xf numFmtId="9" fontId="0" fillId="2" borderId="1" xfId="0" applyNumberFormat="1" applyFill="1" applyBorder="1"/>
    <xf numFmtId="10" fontId="0" fillId="2" borderId="1" xfId="2" applyNumberFormat="1" applyFont="1" applyFill="1" applyBorder="1"/>
    <xf numFmtId="14" fontId="0" fillId="2" borderId="1" xfId="0" applyNumberFormat="1" applyFill="1" applyBorder="1"/>
    <xf numFmtId="44" fontId="0" fillId="2" borderId="1" xfId="1" applyFont="1" applyFill="1" applyBorder="1"/>
    <xf numFmtId="0" fontId="0" fillId="2" borderId="1" xfId="0" applyFill="1" applyBorder="1" applyAlignment="1">
      <alignment horizontal="center"/>
    </xf>
    <xf numFmtId="44" fontId="0" fillId="0" borderId="0" xfId="0" applyNumberFormat="1"/>
    <xf numFmtId="10" fontId="0" fillId="0" borderId="0" xfId="2" applyNumberFormat="1" applyFont="1"/>
    <xf numFmtId="0" fontId="5" fillId="0" borderId="0" xfId="0" applyFont="1"/>
    <xf numFmtId="0" fontId="0" fillId="0" borderId="3" xfId="0" applyBorder="1"/>
    <xf numFmtId="0" fontId="6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0" fillId="0" borderId="5" xfId="0" applyBorder="1"/>
    <xf numFmtId="14" fontId="0" fillId="0" borderId="5" xfId="0" applyNumberFormat="1" applyBorder="1"/>
    <xf numFmtId="44" fontId="0" fillId="0" borderId="5" xfId="0" applyNumberFormat="1" applyBorder="1"/>
    <xf numFmtId="9" fontId="0" fillId="0" borderId="5" xfId="0" applyNumberFormat="1" applyBorder="1"/>
    <xf numFmtId="9" fontId="0" fillId="0" borderId="5" xfId="0" applyNumberFormat="1" applyBorder="1" applyAlignment="1">
      <alignment horizontal="center"/>
    </xf>
    <xf numFmtId="9" fontId="0" fillId="0" borderId="5" xfId="2" applyFont="1" applyBorder="1"/>
    <xf numFmtId="9" fontId="0" fillId="0" borderId="5" xfId="2" applyFont="1" applyBorder="1" applyAlignment="1">
      <alignment horizontal="center"/>
    </xf>
    <xf numFmtId="0" fontId="6" fillId="0" borderId="5" xfId="0" applyFont="1" applyBorder="1"/>
    <xf numFmtId="0" fontId="7" fillId="0" borderId="5" xfId="0" applyFont="1" applyBorder="1"/>
    <xf numFmtId="44" fontId="5" fillId="0" borderId="0" xfId="0" applyNumberFormat="1" applyFont="1"/>
    <xf numFmtId="0" fontId="5" fillId="0" borderId="2" xfId="0" applyFont="1" applyBorder="1"/>
    <xf numFmtId="44" fontId="5" fillId="0" borderId="3" xfId="0" applyNumberFormat="1" applyFont="1" applyBorder="1"/>
    <xf numFmtId="44" fontId="5" fillId="0" borderId="4" xfId="0" applyNumberFormat="1" applyFont="1" applyBorder="1"/>
    <xf numFmtId="0" fontId="6" fillId="0" borderId="6" xfId="0" applyFont="1" applyBorder="1"/>
    <xf numFmtId="0" fontId="9" fillId="0" borderId="7" xfId="0" applyFont="1" applyBorder="1"/>
    <xf numFmtId="0" fontId="6" fillId="0" borderId="8" xfId="0" applyFont="1" applyBorder="1"/>
    <xf numFmtId="0" fontId="6" fillId="0" borderId="9" xfId="0" applyFont="1" applyBorder="1"/>
    <xf numFmtId="44" fontId="0" fillId="0" borderId="3" xfId="0" applyNumberFormat="1" applyBorder="1"/>
    <xf numFmtId="0" fontId="5" fillId="0" borderId="1" xfId="0" applyFont="1" applyBorder="1"/>
    <xf numFmtId="9" fontId="0" fillId="0" borderId="1" xfId="0" applyNumberFormat="1" applyBorder="1"/>
    <xf numFmtId="10" fontId="0" fillId="0" borderId="1" xfId="0" applyNumberFormat="1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0" borderId="0" xfId="0" applyNumberFormat="1"/>
    <xf numFmtId="10" fontId="0" fillId="0" borderId="0" xfId="0" applyNumberFormat="1"/>
    <xf numFmtId="164" fontId="11" fillId="0" borderId="0" xfId="1" applyNumberFormat="1" applyFont="1" applyBorder="1" applyAlignment="1"/>
    <xf numFmtId="0" fontId="3" fillId="0" borderId="0" xfId="0" applyFont="1" applyAlignment="1">
      <alignment horizontal="center"/>
    </xf>
    <xf numFmtId="165" fontId="11" fillId="0" borderId="0" xfId="1" applyNumberFormat="1" applyFont="1" applyBorder="1" applyAlignment="1"/>
    <xf numFmtId="0" fontId="0" fillId="0" borderId="0" xfId="0" applyBorder="1"/>
    <xf numFmtId="44" fontId="0" fillId="0" borderId="0" xfId="0" applyNumberFormat="1" applyBorder="1"/>
    <xf numFmtId="166" fontId="11" fillId="0" borderId="0" xfId="0" applyNumberFormat="1" applyFont="1" applyBorder="1" applyAlignment="1"/>
    <xf numFmtId="0" fontId="0" fillId="0" borderId="0" xfId="0" applyFill="1" applyBorder="1"/>
    <xf numFmtId="0" fontId="0" fillId="0" borderId="0" xfId="0" applyFill="1"/>
    <xf numFmtId="0" fontId="10" fillId="0" borderId="0" xfId="0" applyFont="1" applyFill="1" applyBorder="1" applyAlignment="1"/>
    <xf numFmtId="44" fontId="0" fillId="0" borderId="0" xfId="0" applyNumberFormat="1" applyFill="1" applyBorder="1"/>
    <xf numFmtId="166" fontId="11" fillId="0" borderId="0" xfId="0" applyNumberFormat="1" applyFont="1" applyFill="1" applyBorder="1" applyAlignment="1"/>
    <xf numFmtId="164" fontId="11" fillId="0" borderId="0" xfId="1" applyNumberFormat="1" applyFont="1" applyFill="1" applyBorder="1" applyAlignment="1"/>
    <xf numFmtId="0" fontId="13" fillId="0" borderId="1" xfId="0" applyFont="1" applyBorder="1"/>
    <xf numFmtId="44" fontId="13" fillId="0" borderId="1" xfId="0" applyNumberFormat="1" applyFont="1" applyBorder="1"/>
    <xf numFmtId="0" fontId="12" fillId="3" borderId="10" xfId="0" applyFont="1" applyFill="1" applyBorder="1" applyAlignment="1"/>
    <xf numFmtId="0" fontId="12" fillId="3" borderId="10" xfId="0" applyFont="1" applyFill="1" applyBorder="1" applyAlignment="1">
      <alignment wrapText="1"/>
    </xf>
    <xf numFmtId="166" fontId="14" fillId="0" borderId="10" xfId="0" applyNumberFormat="1" applyFont="1" applyBorder="1"/>
    <xf numFmtId="166" fontId="14" fillId="4" borderId="10" xfId="0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2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Scenario</a:t>
            </a:r>
            <a:r>
              <a:rPr lang="en-US" sz="2000" b="1" baseline="0"/>
              <a:t> Analysis-Year 2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 Case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Scenerios!$A$13:$A$18</c15:sqref>
                  </c15:fullRef>
                </c:ext>
              </c:extLst>
              <c:f>Scenerios!$A$14</c:f>
              <c:strCache>
                <c:ptCount val="1"/>
                <c:pt idx="0">
                  <c:v>Year 2 ARR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Scenerios!$B$13:$B$18</c15:sqref>
                  </c15:fullRef>
                </c:ext>
              </c:extLst>
              <c:f>Scenerios!$B$14</c:f>
              <c:numCache>
                <c:formatCode>_("$"* #,##0.00_);_("$"* \(#,##0.00\);_("$"* "-"??_);_(@_)</c:formatCode>
                <c:ptCount val="1"/>
                <c:pt idx="0">
                  <c:v>6608801.1922192248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E2-4174-A146-63B27F39D3D7}"/>
            </c:ext>
          </c:extLst>
        </c:ser>
        <c:ser>
          <c:idx val="1"/>
          <c:order val="1"/>
          <c:tx>
            <c:v>Bull Case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Scenerios!$A$13:$A$18</c15:sqref>
                  </c15:fullRef>
                </c:ext>
              </c:extLst>
              <c:f>Scenerios!$A$14</c:f>
              <c:strCache>
                <c:ptCount val="1"/>
                <c:pt idx="0">
                  <c:v>Year 2 ARR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Scenerios!$C$13:$C$18</c15:sqref>
                  </c15:fullRef>
                </c:ext>
              </c:extLst>
              <c:f>Scenerios!$C$14</c:f>
              <c:numCache>
                <c:formatCode>_("$"* #,##0.00_);_("$"* \(#,##0.00\);_("$"* "-"??_);_(@_)</c:formatCode>
                <c:ptCount val="1"/>
                <c:pt idx="0">
                  <c:v>12023914.869004685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E2-4174-A146-63B27F39D3D7}"/>
            </c:ext>
          </c:extLst>
        </c:ser>
        <c:ser>
          <c:idx val="2"/>
          <c:order val="2"/>
          <c:tx>
            <c:v>Bear Case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Scenerios!$A$13:$A$18</c15:sqref>
                  </c15:fullRef>
                </c:ext>
              </c:extLst>
              <c:f>Scenerios!$A$14</c:f>
              <c:strCache>
                <c:ptCount val="1"/>
                <c:pt idx="0">
                  <c:v>Year 2 ARR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Scenerios!$D$13:$D$18</c15:sqref>
                  </c15:fullRef>
                </c:ext>
              </c:extLst>
              <c:f>Scenerios!$D$14</c:f>
              <c:numCache>
                <c:formatCode>_("$"* #,##0.00_);_("$"* \(#,##0.00\);_("$"* "-"??_);_(@_)</c:formatCode>
                <c:ptCount val="1"/>
                <c:pt idx="0">
                  <c:v>3440400.1502768695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E2-4174-A146-63B27F39D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0835272"/>
        <c:axId val="401284336"/>
      </c:barChart>
      <c:catAx>
        <c:axId val="53083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84336"/>
        <c:crosses val="autoZero"/>
        <c:auto val="1"/>
        <c:lblAlgn val="ctr"/>
        <c:lblOffset val="100"/>
        <c:noMultiLvlLbl val="0"/>
      </c:catAx>
      <c:valAx>
        <c:axId val="40128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83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571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baseline="0"/>
              <a:t>Monthly Recurring Revenue Growth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 Model'!$A$13</c:f>
              <c:strCache>
                <c:ptCount val="1"/>
                <c:pt idx="0">
                  <c:v>MRR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'Revenue Model'!$B$6:$Y$6</c:f>
              <c:numCache>
                <c:formatCode>m/d/yyyy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'Revenue Model'!$B$13:$Y$13</c:f>
              <c:numCache>
                <c:formatCode>_("$"* #,##0.00_);_("$"* \(#,##0.00\);_("$"* "-"??_);_(@_)</c:formatCode>
                <c:ptCount val="24"/>
                <c:pt idx="0">
                  <c:v>456116.6</c:v>
                </c:pt>
                <c:pt idx="1">
                  <c:v>463305.14786312648</c:v>
                </c:pt>
                <c:pt idx="2">
                  <c:v>466996.56433338061</c:v>
                </c:pt>
                <c:pt idx="3">
                  <c:v>470687.9808036348</c:v>
                </c:pt>
                <c:pt idx="4">
                  <c:v>474379.39727388893</c:v>
                </c:pt>
                <c:pt idx="5">
                  <c:v>478135.57543660369</c:v>
                </c:pt>
                <c:pt idx="6">
                  <c:v>481891.75359931844</c:v>
                </c:pt>
                <c:pt idx="7">
                  <c:v>485647.9317620332</c:v>
                </c:pt>
                <c:pt idx="8">
                  <c:v>489468.87161720853</c:v>
                </c:pt>
                <c:pt idx="9">
                  <c:v>493354.57316484448</c:v>
                </c:pt>
                <c:pt idx="10">
                  <c:v>497305.03640494106</c:v>
                </c:pt>
                <c:pt idx="11">
                  <c:v>501190.73795257701</c:v>
                </c:pt>
                <c:pt idx="12">
                  <c:v>505141.20119267353</c:v>
                </c:pt>
                <c:pt idx="13">
                  <c:v>509156.42612523068</c:v>
                </c:pt>
                <c:pt idx="14">
                  <c:v>513171.65105778782</c:v>
                </c:pt>
                <c:pt idx="15">
                  <c:v>517251.63768280559</c:v>
                </c:pt>
                <c:pt idx="16">
                  <c:v>521331.62430782337</c:v>
                </c:pt>
                <c:pt idx="17">
                  <c:v>525476.37262530171</c:v>
                </c:pt>
                <c:pt idx="18">
                  <c:v>529621.12094278005</c:v>
                </c:pt>
                <c:pt idx="19">
                  <c:v>533765.86926025839</c:v>
                </c:pt>
                <c:pt idx="20">
                  <c:v>537975.37927019736</c:v>
                </c:pt>
                <c:pt idx="21">
                  <c:v>542184.88928013633</c:v>
                </c:pt>
                <c:pt idx="22">
                  <c:v>546459.16098253592</c:v>
                </c:pt>
                <c:pt idx="23">
                  <c:v>550733.4326849354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0-48B9-B9FE-4F966BB3D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1285056"/>
        <c:axId val="582549960"/>
      </c:lineChart>
      <c:dateAx>
        <c:axId val="4012850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549960"/>
        <c:crosses val="autoZero"/>
        <c:auto val="1"/>
        <c:lblOffset val="100"/>
        <c:baseTimeUnit val="months"/>
      </c:dateAx>
      <c:valAx>
        <c:axId val="582549960"/>
        <c:scaling>
          <c:orientation val="minMax"/>
          <c:min val="4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8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571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b="1"/>
              <a:t>Monte Carlo — Year 2 ARR Distribution </a:t>
            </a:r>
          </a:p>
          <a:p>
            <a:pPr algn="ctr" rtl="0">
              <a:defRPr/>
            </a:pPr>
            <a:r>
              <a:rPr lang="en-US" b="1"/>
              <a:t>(1,000 simulations)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F5FA83F4-DF72-4CC7-96DA-D2AB759E5217}"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 b="1"/>
            </a:pPr>
            <a:endParaRPr lang="en-US" sz="12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 b="1"/>
            </a:pPr>
            <a:endParaRPr lang="en-US" sz="12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  <cx:spPr>
    <a:ln w="57150"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1379243</xdr:colOff>
      <xdr:row>2</xdr:row>
      <xdr:rowOff>102498</xdr:rowOff>
    </xdr:from>
    <xdr:to>
      <xdr:col>2</xdr:col>
      <xdr:colOff>2628461</xdr:colOff>
      <xdr:row>21</xdr:row>
      <xdr:rowOff>136765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EDB7A36-D28E-45AD-937B-5AE50D49F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2752148</xdr:colOff>
      <xdr:row>2</xdr:row>
      <xdr:rowOff>105130</xdr:rowOff>
    </xdr:from>
    <xdr:to>
      <xdr:col>3</xdr:col>
      <xdr:colOff>4001367</xdr:colOff>
      <xdr:row>21</xdr:row>
      <xdr:rowOff>139397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019BC505-4ED1-47E9-B3E8-A974642F6A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26512" y="1629130"/>
              <a:ext cx="5486400" cy="36941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</xdr:row>
      <xdr:rowOff>104290</xdr:rowOff>
    </xdr:from>
    <xdr:to>
      <xdr:col>1</xdr:col>
      <xdr:colOff>1246907</xdr:colOff>
      <xdr:row>21</xdr:row>
      <xdr:rowOff>138545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B19680E-F58B-7B40-88BF-30BA9BFBF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ql\Q1_ARR_by_contract.csv" TargetMode="External"/><Relationship Id="rId1" Type="http://schemas.openxmlformats.org/officeDocument/2006/relationships/externalLinkPath" Target="Q1_ARR_by_contrac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1_ARR_by_contract"/>
    </sheetNames>
    <sheetDataSet>
      <sheetData sheetId="0">
        <row r="2">
          <cell r="B2">
            <v>3875</v>
          </cell>
          <cell r="D2">
            <v>257294.15</v>
          </cell>
        </row>
        <row r="3">
          <cell r="B3">
            <v>1695</v>
          </cell>
          <cell r="D3">
            <v>103005.85</v>
          </cell>
        </row>
        <row r="4">
          <cell r="B4">
            <v>1473</v>
          </cell>
          <cell r="D4">
            <v>95816.6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216A53-4AFF-4F89-98B8-C91C77443539}" name="Table1" displayName="Table1" ref="A13:E1013" totalsRowShown="0">
  <autoFilter ref="A13:E1013" xr:uid="{B2216A53-4AFF-4F89-98B8-C91C77443539}"/>
  <tableColumns count="5">
    <tableColumn id="1" xr3:uid="{B17091D3-8D9A-4C7C-8A71-7EA34379DEC3}" name="Simulation #"/>
    <tableColumn id="2" xr3:uid="{C3CD7433-71F8-4C84-97F4-1422F6EA1740}" name="Random Growth Rate">
      <calculatedColumnFormula>_xlfn.NORM.INV(RAND(), $B$4, $B$5)</calculatedColumnFormula>
    </tableColumn>
    <tableColumn id="3" xr3:uid="{B8BBEEF5-54FD-4779-8C1A-8741ED14D0A9}" name="Random Churn Rate">
      <calculatedColumnFormula>+_xlfn.NORM.INV(RAND(), $B$6, $B$7)</calculatedColumnFormula>
    </tableColumn>
    <tableColumn id="4" xr3:uid="{98204867-A70D-487D-81F0-B9F3F889859A}" name="Year 2 MRR" dataDxfId="1">
      <calculatedColumnFormula>Assumptions!B$3*(1+B14)^24*(1-C14/12)^24</calculatedColumnFormula>
    </tableColumn>
    <tableColumn id="5" xr3:uid="{68F2FB81-5237-4BE1-9BDE-BA6B838290A4}" name="Year 2 ARR" dataDxfId="0">
      <calculatedColumnFormula>D14*12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B2237B-4D49-4515-BFAF-8A9F202629AF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</sheetPr>
  <dimension ref="A1:B18"/>
  <sheetViews>
    <sheetView topLeftCell="A3" workbookViewId="0">
      <selection activeCell="B17" sqref="B17"/>
    </sheetView>
  </sheetViews>
  <sheetFormatPr defaultRowHeight="14.5" x14ac:dyDescent="0.35"/>
  <cols>
    <col min="1" max="1" width="29.36328125" bestFit="1" customWidth="1"/>
    <col min="2" max="2" width="12.08984375" bestFit="1" customWidth="1"/>
  </cols>
  <sheetData>
    <row r="1" spans="1:2" ht="18.5" x14ac:dyDescent="0.45">
      <c r="A1" s="43" t="s">
        <v>0</v>
      </c>
      <c r="B1" s="43"/>
    </row>
    <row r="2" spans="1:2" x14ac:dyDescent="0.35">
      <c r="A2" s="2" t="s">
        <v>14</v>
      </c>
      <c r="B2" s="8" t="s">
        <v>51</v>
      </c>
    </row>
    <row r="3" spans="1:2" x14ac:dyDescent="0.35">
      <c r="A3" s="3" t="s">
        <v>1</v>
      </c>
      <c r="B3" s="7">
        <f>SUM([1]Q1_ARR_by_contract!$D$2:$D$4)</f>
        <v>456116.6</v>
      </c>
    </row>
    <row r="4" spans="1:2" x14ac:dyDescent="0.35">
      <c r="A4" s="3" t="s">
        <v>2</v>
      </c>
      <c r="B4" s="4">
        <v>0.03</v>
      </c>
    </row>
    <row r="5" spans="1:2" x14ac:dyDescent="0.35">
      <c r="A5" s="3" t="s">
        <v>3</v>
      </c>
      <c r="B5" s="5">
        <v>0.26536987079369601</v>
      </c>
    </row>
    <row r="6" spans="1:2" x14ac:dyDescent="0.35">
      <c r="A6" s="3" t="s">
        <v>4</v>
      </c>
      <c r="B6" s="7">
        <f>SUM([1]Q1_ARR_by_contract!$D$2:$D$4)/SUM([1]Q1_ARR_by_contract!$B$2:$B$4)</f>
        <v>64.761692460599178</v>
      </c>
    </row>
    <row r="7" spans="1:2" x14ac:dyDescent="0.35">
      <c r="A7" s="3"/>
      <c r="B7" s="1"/>
    </row>
    <row r="8" spans="1:2" x14ac:dyDescent="0.35">
      <c r="A8" s="3"/>
      <c r="B8" s="1"/>
    </row>
    <row r="9" spans="1:2" x14ac:dyDescent="0.35">
      <c r="A9" s="2" t="s">
        <v>5</v>
      </c>
      <c r="B9" s="1"/>
    </row>
    <row r="10" spans="1:2" x14ac:dyDescent="0.35">
      <c r="A10" s="3" t="s">
        <v>6</v>
      </c>
      <c r="B10" s="4">
        <v>0.72</v>
      </c>
    </row>
    <row r="11" spans="1:2" x14ac:dyDescent="0.35">
      <c r="A11" s="3" t="s">
        <v>7</v>
      </c>
      <c r="B11" s="4">
        <v>0.25</v>
      </c>
    </row>
    <row r="12" spans="1:2" x14ac:dyDescent="0.35">
      <c r="A12" s="3" t="s">
        <v>8</v>
      </c>
      <c r="B12" s="4">
        <v>0.15</v>
      </c>
    </row>
    <row r="13" spans="1:2" x14ac:dyDescent="0.35">
      <c r="A13" s="3" t="s">
        <v>9</v>
      </c>
      <c r="B13" s="4">
        <v>0.1</v>
      </c>
    </row>
    <row r="14" spans="1:2" x14ac:dyDescent="0.35">
      <c r="A14" s="3"/>
      <c r="B14" s="1"/>
    </row>
    <row r="15" spans="1:2" x14ac:dyDescent="0.35">
      <c r="A15" s="3" t="s">
        <v>10</v>
      </c>
      <c r="B15" s="1"/>
    </row>
    <row r="16" spans="1:2" x14ac:dyDescent="0.35">
      <c r="A16" s="3" t="s">
        <v>11</v>
      </c>
      <c r="B16" s="6">
        <v>45292</v>
      </c>
    </row>
    <row r="17" spans="1:2" x14ac:dyDescent="0.35">
      <c r="A17" s="3" t="s">
        <v>12</v>
      </c>
      <c r="B17" s="1">
        <v>24</v>
      </c>
    </row>
    <row r="18" spans="1:2" x14ac:dyDescent="0.35">
      <c r="A18" s="3" t="s">
        <v>13</v>
      </c>
      <c r="B18" s="4">
        <v>0.1</v>
      </c>
    </row>
  </sheetData>
  <scenarios current="0" show="0">
    <scenario name="Base Scenerio" locked="1" count="3" user="HP" comment="Created by HP on 12-05-2026">
      <inputCells r="B4" val="0.03" numFmtId="9"/>
      <inputCells r="B5" val="0.265369870793696"/>
      <inputCells r="B10" val="0.72" numFmtId="9"/>
    </scenario>
    <scenario name="Bull Scenerio " locked="1" count="3" user="HP" comment="Created by HP on 12-05-2026">
      <inputCells r="B4" val="0.05" numFmtId="9"/>
      <inputCells r="B5" val="0.2" numFmtId="10"/>
      <inputCells r="B10" val="0.75" numFmtId="9"/>
    </scenario>
    <scenario name="Bear Scenerio " locked="1" count="3" user="HP" comment="Created by HP on 12-05-2026">
      <inputCells r="B4" val="0.01" numFmtId="9"/>
      <inputCells r="B5" val="0.35" numFmtId="10"/>
      <inputCells r="B10" val="0.65" numFmtId="9"/>
    </scenario>
  </scenarios>
  <mergeCells count="1">
    <mergeCell ref="A1:B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5AAF-79E6-4690-A78B-477ABC983540}">
  <sheetPr codeName="Sheet2">
    <tabColor theme="0" tint="-0.34998626667073579"/>
  </sheetPr>
  <dimension ref="A1:Y21"/>
  <sheetViews>
    <sheetView topLeftCell="A3" zoomScale="115" zoomScaleNormal="115" workbookViewId="0">
      <selection activeCell="A13" activeCellId="1" sqref="A6:XFD6 A13:XFD13"/>
    </sheetView>
  </sheetViews>
  <sheetFormatPr defaultRowHeight="14.5" x14ac:dyDescent="0.35"/>
  <cols>
    <col min="1" max="1" width="20" bestFit="1" customWidth="1"/>
    <col min="2" max="25" width="13.6328125" bestFit="1" customWidth="1"/>
  </cols>
  <sheetData>
    <row r="1" spans="1:25" ht="19" thickBot="1" x14ac:dyDescent="0.5">
      <c r="A1" s="13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4" t="s">
        <v>20</v>
      </c>
      <c r="G1" s="14" t="s">
        <v>21</v>
      </c>
      <c r="H1" s="14" t="s">
        <v>22</v>
      </c>
      <c r="I1" s="14" t="s">
        <v>23</v>
      </c>
      <c r="J1" s="14" t="s">
        <v>24</v>
      </c>
      <c r="K1" s="14" t="s">
        <v>25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30</v>
      </c>
      <c r="Q1" s="14" t="s">
        <v>31</v>
      </c>
      <c r="R1" s="14" t="s">
        <v>32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  <c r="Y1" s="15" t="s">
        <v>39</v>
      </c>
    </row>
    <row r="4" spans="1:25" ht="15" thickBot="1" x14ac:dyDescent="0.4"/>
    <row r="5" spans="1:25" ht="15.5" thickTop="1" thickBot="1" x14ac:dyDescent="0.4">
      <c r="A5" s="16" t="s">
        <v>40</v>
      </c>
      <c r="B5" s="16">
        <v>1</v>
      </c>
      <c r="C5" s="16">
        <v>2</v>
      </c>
      <c r="D5" s="16">
        <v>3</v>
      </c>
      <c r="E5" s="16">
        <v>4</v>
      </c>
      <c r="F5" s="16">
        <v>5</v>
      </c>
      <c r="G5" s="16">
        <v>6</v>
      </c>
      <c r="H5" s="16">
        <v>7</v>
      </c>
      <c r="I5" s="16">
        <v>8</v>
      </c>
      <c r="J5" s="16">
        <v>9</v>
      </c>
      <c r="K5" s="16">
        <v>10</v>
      </c>
      <c r="L5" s="16">
        <v>11</v>
      </c>
      <c r="M5" s="16">
        <v>12</v>
      </c>
      <c r="N5" s="16">
        <v>13</v>
      </c>
      <c r="O5" s="16">
        <v>14</v>
      </c>
      <c r="P5" s="16">
        <v>15</v>
      </c>
      <c r="Q5" s="16">
        <v>16</v>
      </c>
      <c r="R5" s="16">
        <v>17</v>
      </c>
      <c r="S5" s="16">
        <v>18</v>
      </c>
      <c r="T5" s="16">
        <v>19</v>
      </c>
      <c r="U5" s="16">
        <v>20</v>
      </c>
      <c r="V5" s="16">
        <v>21</v>
      </c>
      <c r="W5" s="16">
        <v>22</v>
      </c>
      <c r="X5" s="16">
        <v>23</v>
      </c>
      <c r="Y5" s="16">
        <v>24</v>
      </c>
    </row>
    <row r="6" spans="1:25" ht="15.5" thickTop="1" thickBot="1" x14ac:dyDescent="0.4">
      <c r="A6" s="16" t="s">
        <v>41</v>
      </c>
      <c r="B6" s="17">
        <v>45292</v>
      </c>
      <c r="C6" s="17">
        <v>45323</v>
      </c>
      <c r="D6" s="17">
        <v>45352</v>
      </c>
      <c r="E6" s="17">
        <v>45383</v>
      </c>
      <c r="F6" s="17">
        <v>45413</v>
      </c>
      <c r="G6" s="17">
        <v>45444</v>
      </c>
      <c r="H6" s="17">
        <v>45474</v>
      </c>
      <c r="I6" s="17">
        <v>45505</v>
      </c>
      <c r="J6" s="17">
        <v>45536</v>
      </c>
      <c r="K6" s="17">
        <v>45566</v>
      </c>
      <c r="L6" s="17">
        <v>45597</v>
      </c>
      <c r="M6" s="17">
        <v>45627</v>
      </c>
      <c r="N6" s="17">
        <v>45658</v>
      </c>
      <c r="O6" s="17">
        <v>45689</v>
      </c>
      <c r="P6" s="17">
        <v>45717</v>
      </c>
      <c r="Q6" s="17">
        <v>45748</v>
      </c>
      <c r="R6" s="17">
        <v>45778</v>
      </c>
      <c r="S6" s="17">
        <v>45809</v>
      </c>
      <c r="T6" s="17">
        <v>45839</v>
      </c>
      <c r="U6" s="17">
        <v>45870</v>
      </c>
      <c r="V6" s="17">
        <v>45901</v>
      </c>
      <c r="W6" s="17">
        <v>45931</v>
      </c>
      <c r="X6" s="17">
        <v>45962</v>
      </c>
      <c r="Y6" s="17">
        <v>45992</v>
      </c>
    </row>
    <row r="7" spans="1:25" ht="15.5" thickTop="1" thickBot="1" x14ac:dyDescent="0.4">
      <c r="A7" s="16" t="s">
        <v>42</v>
      </c>
      <c r="B7" s="16">
        <f>Assumptions!$B$3/Assumptions!$B$6</f>
        <v>7042.9999999999991</v>
      </c>
      <c r="C7" s="16">
        <f>B10</f>
        <v>7097.9999999999991</v>
      </c>
      <c r="D7" s="16">
        <f t="shared" ref="D7:Y7" si="0">C10</f>
        <v>7153.9999999999991</v>
      </c>
      <c r="E7" s="16">
        <f t="shared" si="0"/>
        <v>7210.9999999999991</v>
      </c>
      <c r="F7" s="16">
        <f t="shared" si="0"/>
        <v>7267.9999999999991</v>
      </c>
      <c r="G7" s="16">
        <f t="shared" si="0"/>
        <v>7324.9999999999991</v>
      </c>
      <c r="H7" s="16">
        <f t="shared" si="0"/>
        <v>7382.9999999999991</v>
      </c>
      <c r="I7" s="16">
        <f t="shared" si="0"/>
        <v>7440.9999999999991</v>
      </c>
      <c r="J7" s="16">
        <f t="shared" si="0"/>
        <v>7498.9999999999991</v>
      </c>
      <c r="K7" s="16">
        <f t="shared" si="0"/>
        <v>7557.9999999999991</v>
      </c>
      <c r="L7" s="16">
        <f t="shared" si="0"/>
        <v>7617.9999999999991</v>
      </c>
      <c r="M7" s="16">
        <f t="shared" si="0"/>
        <v>7678.9999999999991</v>
      </c>
      <c r="N7" s="16">
        <f t="shared" si="0"/>
        <v>7738.9999999999991</v>
      </c>
      <c r="O7" s="16">
        <f t="shared" si="0"/>
        <v>7799.9999999999991</v>
      </c>
      <c r="P7" s="16">
        <f t="shared" si="0"/>
        <v>7861.9999999999991</v>
      </c>
      <c r="Q7" s="16">
        <f t="shared" si="0"/>
        <v>7923.9999999999991</v>
      </c>
      <c r="R7" s="16">
        <f t="shared" si="0"/>
        <v>7986.9999999999991</v>
      </c>
      <c r="S7" s="16">
        <f t="shared" si="0"/>
        <v>8050</v>
      </c>
      <c r="T7" s="16">
        <f t="shared" si="0"/>
        <v>8114</v>
      </c>
      <c r="U7" s="16">
        <f t="shared" si="0"/>
        <v>8178</v>
      </c>
      <c r="V7" s="16">
        <f t="shared" si="0"/>
        <v>8242</v>
      </c>
      <c r="W7" s="16">
        <f t="shared" si="0"/>
        <v>8307</v>
      </c>
      <c r="X7" s="16">
        <f t="shared" si="0"/>
        <v>8372</v>
      </c>
      <c r="Y7" s="16">
        <f t="shared" si="0"/>
        <v>8438</v>
      </c>
    </row>
    <row r="8" spans="1:25" ht="15.5" thickTop="1" thickBot="1" x14ac:dyDescent="0.4">
      <c r="A8" s="16" t="s">
        <v>43</v>
      </c>
      <c r="B8" s="16">
        <f>ROUND(B7*Assumptions!$B$4, 0)</f>
        <v>211</v>
      </c>
      <c r="C8" s="16">
        <f>ROUND(C7*Assumptions!$B$4, 0)</f>
        <v>213</v>
      </c>
      <c r="D8" s="16">
        <f>ROUND(D7*Assumptions!$B$4, 0)</f>
        <v>215</v>
      </c>
      <c r="E8" s="16">
        <f>ROUND(E7*Assumptions!$B$4, 0)</f>
        <v>216</v>
      </c>
      <c r="F8" s="16">
        <f>ROUND(F7*Assumptions!$B$4, 0)</f>
        <v>218</v>
      </c>
      <c r="G8" s="16">
        <f>ROUND(G7*Assumptions!$B$4, 0)</f>
        <v>220</v>
      </c>
      <c r="H8" s="16">
        <f>ROUND(H7*Assumptions!$B$4, 0)</f>
        <v>221</v>
      </c>
      <c r="I8" s="16">
        <f>ROUND(I7*Assumptions!$B$4, 0)</f>
        <v>223</v>
      </c>
      <c r="J8" s="16">
        <f>ROUND(J7*Assumptions!$B$4, 0)</f>
        <v>225</v>
      </c>
      <c r="K8" s="16">
        <f>ROUND(K7*Assumptions!$B$4, 0)</f>
        <v>227</v>
      </c>
      <c r="L8" s="16">
        <f>ROUND(L7*Assumptions!$B$4, 0)</f>
        <v>229</v>
      </c>
      <c r="M8" s="16">
        <f>ROUND(M7*Assumptions!$B$4, 0)</f>
        <v>230</v>
      </c>
      <c r="N8" s="16">
        <f>ROUND(N7*Assumptions!$B$4, 0)</f>
        <v>232</v>
      </c>
      <c r="O8" s="16">
        <f>ROUND(O7*Assumptions!$B$4, 0)</f>
        <v>234</v>
      </c>
      <c r="P8" s="16">
        <f>ROUND(P7*Assumptions!$B$4, 0)</f>
        <v>236</v>
      </c>
      <c r="Q8" s="16">
        <f>ROUND(Q7*Assumptions!$B$4, 0)</f>
        <v>238</v>
      </c>
      <c r="R8" s="16">
        <f>ROUND(R7*Assumptions!$B$4, 0)</f>
        <v>240</v>
      </c>
      <c r="S8" s="16">
        <f>ROUND(S7*Assumptions!$B$4, 0)</f>
        <v>242</v>
      </c>
      <c r="T8" s="16">
        <f>ROUND(T7*Assumptions!$B$4, 0)</f>
        <v>243</v>
      </c>
      <c r="U8" s="16">
        <f>ROUND(U7*Assumptions!$B$4, 0)</f>
        <v>245</v>
      </c>
      <c r="V8" s="16">
        <f>ROUND(V7*Assumptions!$B$4, 0)</f>
        <v>247</v>
      </c>
      <c r="W8" s="16">
        <f>ROUND(W7*Assumptions!$B$4, 0)</f>
        <v>249</v>
      </c>
      <c r="X8" s="16">
        <f>ROUND(X7*Assumptions!$B$4, 0)</f>
        <v>251</v>
      </c>
      <c r="Y8" s="16">
        <f>ROUND(Y7*Assumptions!$B$4, 0)</f>
        <v>253</v>
      </c>
    </row>
    <row r="9" spans="1:25" ht="15.5" thickTop="1" thickBot="1" x14ac:dyDescent="0.4">
      <c r="A9" s="16" t="s">
        <v>44</v>
      </c>
      <c r="B9" s="16">
        <f>ROUND(B7*(Assumptions!$B$5/12),0)</f>
        <v>156</v>
      </c>
      <c r="C9" s="16">
        <f>ROUND(C7*(Assumptions!$B$5/12),0)</f>
        <v>157</v>
      </c>
      <c r="D9" s="16">
        <f>ROUND(D7*(Assumptions!$B$5/12),0)</f>
        <v>158</v>
      </c>
      <c r="E9" s="16">
        <f>ROUND(E7*(Assumptions!$B$5/12),0)</f>
        <v>159</v>
      </c>
      <c r="F9" s="16">
        <f>ROUND(F7*(Assumptions!$B$5/12),0)</f>
        <v>161</v>
      </c>
      <c r="G9" s="16">
        <f>ROUND(G7*(Assumptions!$B$5/12),0)</f>
        <v>162</v>
      </c>
      <c r="H9" s="16">
        <f>ROUND(H7*(Assumptions!$B$5/12),0)</f>
        <v>163</v>
      </c>
      <c r="I9" s="16">
        <f>ROUND(I7*(Assumptions!$B$5/12),0)</f>
        <v>165</v>
      </c>
      <c r="J9" s="16">
        <f>ROUND(J7*(Assumptions!$B$5/12),0)</f>
        <v>166</v>
      </c>
      <c r="K9" s="16">
        <f>ROUND(K7*(Assumptions!$B$5/12),0)</f>
        <v>167</v>
      </c>
      <c r="L9" s="16">
        <f>ROUND(L7*(Assumptions!$B$5/12),0)</f>
        <v>168</v>
      </c>
      <c r="M9" s="16">
        <f>ROUND(M7*(Assumptions!$B$5/12),0)</f>
        <v>170</v>
      </c>
      <c r="N9" s="16">
        <f>ROUND(N7*(Assumptions!$B$5/12),0)</f>
        <v>171</v>
      </c>
      <c r="O9" s="16">
        <f>ROUND(O7*(Assumptions!$B$5/12),0)</f>
        <v>172</v>
      </c>
      <c r="P9" s="16">
        <f>ROUND(P7*(Assumptions!$B$5/12),0)</f>
        <v>174</v>
      </c>
      <c r="Q9" s="16">
        <f>ROUND(Q7*(Assumptions!$B$5/12),0)</f>
        <v>175</v>
      </c>
      <c r="R9" s="16">
        <f>ROUND(R7*(Assumptions!$B$5/12),0)</f>
        <v>177</v>
      </c>
      <c r="S9" s="16">
        <f>ROUND(S7*(Assumptions!$B$5/12),0)</f>
        <v>178</v>
      </c>
      <c r="T9" s="16">
        <f>ROUND(T7*(Assumptions!$B$5/12),0)</f>
        <v>179</v>
      </c>
      <c r="U9" s="16">
        <f>ROUND(U7*(Assumptions!$B$5/12),0)</f>
        <v>181</v>
      </c>
      <c r="V9" s="16">
        <f>ROUND(V7*(Assumptions!$B$5/12),0)</f>
        <v>182</v>
      </c>
      <c r="W9" s="16">
        <f>ROUND(W7*(Assumptions!$B$5/12),0)</f>
        <v>184</v>
      </c>
      <c r="X9" s="16">
        <f>ROUND(X7*(Assumptions!$B$5/12),0)</f>
        <v>185</v>
      </c>
      <c r="Y9" s="16">
        <f>ROUND(Y7*(Assumptions!$B$5/12),0)</f>
        <v>187</v>
      </c>
    </row>
    <row r="10" spans="1:25" ht="15.5" thickTop="1" thickBot="1" x14ac:dyDescent="0.4">
      <c r="A10" s="16" t="s">
        <v>45</v>
      </c>
      <c r="B10" s="16">
        <f>B7+B8-B9</f>
        <v>7097.9999999999991</v>
      </c>
      <c r="C10" s="16">
        <f>C7+C8-C9</f>
        <v>7153.9999999999991</v>
      </c>
      <c r="D10" s="16">
        <f>D7+D8-D9</f>
        <v>7210.9999999999991</v>
      </c>
      <c r="E10" s="16">
        <f>E7+E8-E9</f>
        <v>7267.9999999999991</v>
      </c>
      <c r="F10" s="16">
        <f t="shared" ref="F10:Y10" si="1">F7+F8-F9</f>
        <v>7324.9999999999991</v>
      </c>
      <c r="G10" s="16">
        <f t="shared" si="1"/>
        <v>7382.9999999999991</v>
      </c>
      <c r="H10" s="16">
        <f t="shared" si="1"/>
        <v>7440.9999999999991</v>
      </c>
      <c r="I10" s="16">
        <f t="shared" si="1"/>
        <v>7498.9999999999991</v>
      </c>
      <c r="J10" s="16">
        <f t="shared" si="1"/>
        <v>7557.9999999999991</v>
      </c>
      <c r="K10" s="16">
        <f t="shared" si="1"/>
        <v>7617.9999999999991</v>
      </c>
      <c r="L10" s="16">
        <f t="shared" si="1"/>
        <v>7678.9999999999991</v>
      </c>
      <c r="M10" s="16">
        <f t="shared" si="1"/>
        <v>7738.9999999999991</v>
      </c>
      <c r="N10" s="16">
        <f t="shared" si="1"/>
        <v>7799.9999999999991</v>
      </c>
      <c r="O10" s="16">
        <f t="shared" si="1"/>
        <v>7861.9999999999991</v>
      </c>
      <c r="P10" s="16">
        <f t="shared" si="1"/>
        <v>7923.9999999999991</v>
      </c>
      <c r="Q10" s="16">
        <f t="shared" si="1"/>
        <v>7986.9999999999991</v>
      </c>
      <c r="R10" s="16">
        <f t="shared" si="1"/>
        <v>8050</v>
      </c>
      <c r="S10" s="16">
        <f t="shared" si="1"/>
        <v>8114</v>
      </c>
      <c r="T10" s="16">
        <f t="shared" si="1"/>
        <v>8178</v>
      </c>
      <c r="U10" s="16">
        <f t="shared" si="1"/>
        <v>8242</v>
      </c>
      <c r="V10" s="16">
        <f t="shared" si="1"/>
        <v>8307</v>
      </c>
      <c r="W10" s="16">
        <f t="shared" si="1"/>
        <v>8372</v>
      </c>
      <c r="X10" s="16">
        <f t="shared" si="1"/>
        <v>8438</v>
      </c>
      <c r="Y10" s="16">
        <f t="shared" si="1"/>
        <v>8504</v>
      </c>
    </row>
    <row r="11" spans="1:25" ht="15.5" thickTop="1" thickBot="1" x14ac:dyDescent="0.4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spans="1:25" ht="15.5" thickTop="1" thickBot="1" x14ac:dyDescent="0.4">
      <c r="A12" s="16" t="s">
        <v>46</v>
      </c>
      <c r="B12" s="18">
        <f>Assumptions!$B$6</f>
        <v>64.761692460599178</v>
      </c>
      <c r="C12" s="18">
        <f>Assumptions!$B$6</f>
        <v>64.761692460599178</v>
      </c>
      <c r="D12" s="18">
        <f>Assumptions!$B$6</f>
        <v>64.761692460599178</v>
      </c>
      <c r="E12" s="18">
        <f>Assumptions!$B$6</f>
        <v>64.761692460599178</v>
      </c>
      <c r="F12" s="18">
        <f>Assumptions!$B$6</f>
        <v>64.761692460599178</v>
      </c>
      <c r="G12" s="18">
        <f>Assumptions!$B$6</f>
        <v>64.761692460599178</v>
      </c>
      <c r="H12" s="18">
        <f>Assumptions!$B$6</f>
        <v>64.761692460599178</v>
      </c>
      <c r="I12" s="18">
        <f>Assumptions!$B$6</f>
        <v>64.761692460599178</v>
      </c>
      <c r="J12" s="18">
        <f>Assumptions!$B$6</f>
        <v>64.761692460599178</v>
      </c>
      <c r="K12" s="18">
        <f>Assumptions!$B$6</f>
        <v>64.761692460599178</v>
      </c>
      <c r="L12" s="18">
        <f>Assumptions!$B$6</f>
        <v>64.761692460599178</v>
      </c>
      <c r="M12" s="18">
        <f>Assumptions!$B$6</f>
        <v>64.761692460599178</v>
      </c>
      <c r="N12" s="18">
        <f>Assumptions!$B$6</f>
        <v>64.761692460599178</v>
      </c>
      <c r="O12" s="18">
        <f>Assumptions!$B$6</f>
        <v>64.761692460599178</v>
      </c>
      <c r="P12" s="18">
        <f>Assumptions!$B$6</f>
        <v>64.761692460599178</v>
      </c>
      <c r="Q12" s="18">
        <f>Assumptions!$B$6</f>
        <v>64.761692460599178</v>
      </c>
      <c r="R12" s="18">
        <f>Assumptions!$B$6</f>
        <v>64.761692460599178</v>
      </c>
      <c r="S12" s="18">
        <f>Assumptions!$B$6</f>
        <v>64.761692460599178</v>
      </c>
      <c r="T12" s="18">
        <f>Assumptions!$B$6</f>
        <v>64.761692460599178</v>
      </c>
      <c r="U12" s="18">
        <f>Assumptions!$B$6</f>
        <v>64.761692460599178</v>
      </c>
      <c r="V12" s="18">
        <f>Assumptions!$B$6</f>
        <v>64.761692460599178</v>
      </c>
      <c r="W12" s="18">
        <f>Assumptions!$B$6</f>
        <v>64.761692460599178</v>
      </c>
      <c r="X12" s="18">
        <f>Assumptions!$B$6</f>
        <v>64.761692460599178</v>
      </c>
      <c r="Y12" s="18">
        <f>Assumptions!$B$6</f>
        <v>64.761692460599178</v>
      </c>
    </row>
    <row r="13" spans="1:25" ht="15.5" thickTop="1" thickBot="1" x14ac:dyDescent="0.4">
      <c r="A13" s="16" t="s">
        <v>47</v>
      </c>
      <c r="B13" s="18">
        <f>Assumptions!$B$3</f>
        <v>456116.6</v>
      </c>
      <c r="C13" s="18">
        <f>C12*C10</f>
        <v>463305.14786312648</v>
      </c>
      <c r="D13" s="18">
        <f t="shared" ref="D13:Y13" si="2">D12*D10</f>
        <v>466996.56433338061</v>
      </c>
      <c r="E13" s="18">
        <f t="shared" si="2"/>
        <v>470687.9808036348</v>
      </c>
      <c r="F13" s="18">
        <f t="shared" si="2"/>
        <v>474379.39727388893</v>
      </c>
      <c r="G13" s="18">
        <f t="shared" si="2"/>
        <v>478135.57543660369</v>
      </c>
      <c r="H13" s="18">
        <f t="shared" si="2"/>
        <v>481891.75359931844</v>
      </c>
      <c r="I13" s="18">
        <f t="shared" si="2"/>
        <v>485647.9317620332</v>
      </c>
      <c r="J13" s="18">
        <f t="shared" si="2"/>
        <v>489468.87161720853</v>
      </c>
      <c r="K13" s="18">
        <f t="shared" si="2"/>
        <v>493354.57316484448</v>
      </c>
      <c r="L13" s="18">
        <f t="shared" si="2"/>
        <v>497305.03640494106</v>
      </c>
      <c r="M13" s="18">
        <f t="shared" si="2"/>
        <v>501190.73795257701</v>
      </c>
      <c r="N13" s="18">
        <f t="shared" si="2"/>
        <v>505141.20119267353</v>
      </c>
      <c r="O13" s="18">
        <f t="shared" si="2"/>
        <v>509156.42612523068</v>
      </c>
      <c r="P13" s="18">
        <f t="shared" si="2"/>
        <v>513171.65105778782</v>
      </c>
      <c r="Q13" s="18">
        <f t="shared" si="2"/>
        <v>517251.63768280559</v>
      </c>
      <c r="R13" s="18">
        <f t="shared" si="2"/>
        <v>521331.62430782337</v>
      </c>
      <c r="S13" s="18">
        <f t="shared" si="2"/>
        <v>525476.37262530171</v>
      </c>
      <c r="T13" s="18">
        <f t="shared" si="2"/>
        <v>529621.12094278005</v>
      </c>
      <c r="U13" s="18">
        <f t="shared" si="2"/>
        <v>533765.86926025839</v>
      </c>
      <c r="V13" s="18">
        <f t="shared" si="2"/>
        <v>537975.37927019736</v>
      </c>
      <c r="W13" s="18">
        <f t="shared" si="2"/>
        <v>542184.88928013633</v>
      </c>
      <c r="X13" s="18">
        <f t="shared" si="2"/>
        <v>546459.16098253592</v>
      </c>
      <c r="Y13" s="18">
        <f t="shared" si="2"/>
        <v>550733.4326849354</v>
      </c>
    </row>
    <row r="14" spans="1:25" ht="15.5" thickTop="1" thickBot="1" x14ac:dyDescent="0.4">
      <c r="A14" s="16" t="s">
        <v>48</v>
      </c>
      <c r="B14" s="18">
        <f>Assumptions!$B$3*12</f>
        <v>5473399.1999999993</v>
      </c>
      <c r="C14" s="18">
        <f>C13*12</f>
        <v>5559661.7743575182</v>
      </c>
      <c r="D14" s="18">
        <f t="shared" ref="D14:Y14" si="3">D13*12</f>
        <v>5603958.7720005671</v>
      </c>
      <c r="E14" s="18">
        <f t="shared" si="3"/>
        <v>5648255.7696436178</v>
      </c>
      <c r="F14" s="18">
        <f t="shared" si="3"/>
        <v>5692552.7672866676</v>
      </c>
      <c r="G14" s="18">
        <f t="shared" si="3"/>
        <v>5737626.905239244</v>
      </c>
      <c r="H14" s="18">
        <f t="shared" si="3"/>
        <v>5782701.0431918213</v>
      </c>
      <c r="I14" s="18">
        <f t="shared" si="3"/>
        <v>5827775.1811443986</v>
      </c>
      <c r="J14" s="18">
        <f t="shared" si="3"/>
        <v>5873626.4594065025</v>
      </c>
      <c r="K14" s="18">
        <f t="shared" si="3"/>
        <v>5920254.877978134</v>
      </c>
      <c r="L14" s="18">
        <f t="shared" si="3"/>
        <v>5967660.4368592929</v>
      </c>
      <c r="M14" s="18">
        <f t="shared" si="3"/>
        <v>6014288.8554309243</v>
      </c>
      <c r="N14" s="18">
        <f t="shared" si="3"/>
        <v>6061694.4143120823</v>
      </c>
      <c r="O14" s="18">
        <f t="shared" si="3"/>
        <v>6109877.1135027679</v>
      </c>
      <c r="P14" s="18">
        <f t="shared" si="3"/>
        <v>6158059.8126934543</v>
      </c>
      <c r="Q14" s="18">
        <f t="shared" si="3"/>
        <v>6207019.6521936674</v>
      </c>
      <c r="R14" s="18">
        <f t="shared" si="3"/>
        <v>6255979.4916938804</v>
      </c>
      <c r="S14" s="18">
        <f t="shared" si="3"/>
        <v>6305716.471503621</v>
      </c>
      <c r="T14" s="18">
        <f t="shared" si="3"/>
        <v>6355453.4513133606</v>
      </c>
      <c r="U14" s="18">
        <f t="shared" si="3"/>
        <v>6405190.4311231002</v>
      </c>
      <c r="V14" s="18">
        <f t="shared" si="3"/>
        <v>6455704.5512423683</v>
      </c>
      <c r="W14" s="18">
        <f t="shared" si="3"/>
        <v>6506218.6713616364</v>
      </c>
      <c r="X14" s="18">
        <f t="shared" si="3"/>
        <v>6557509.931790431</v>
      </c>
      <c r="Y14" s="18">
        <f t="shared" si="3"/>
        <v>6608801.1922192248</v>
      </c>
    </row>
    <row r="15" spans="1:25" ht="15.5" thickTop="1" thickBot="1" x14ac:dyDescent="0.4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spans="1:25" ht="15.5" thickTop="1" thickBot="1" x14ac:dyDescent="0.4">
      <c r="A16" s="16" t="s">
        <v>49</v>
      </c>
      <c r="B16" s="19">
        <f>(C14-B14)/B14</f>
        <v>1.5760329405083214E-2</v>
      </c>
      <c r="C16" s="19">
        <f t="shared" ref="C16:X16" si="4">(D14-C14)/C14</f>
        <v>7.9675705898796141E-3</v>
      </c>
      <c r="D16" s="19">
        <f t="shared" si="4"/>
        <v>7.9045902094024637E-3</v>
      </c>
      <c r="E16" s="19">
        <f t="shared" si="4"/>
        <v>7.8425976884975174E-3</v>
      </c>
      <c r="F16" s="19">
        <f t="shared" si="4"/>
        <v>7.9180887372012534E-3</v>
      </c>
      <c r="G16" s="19">
        <f t="shared" si="4"/>
        <v>7.8558851415414313E-3</v>
      </c>
      <c r="H16" s="19">
        <f t="shared" si="4"/>
        <v>7.7946512565515904E-3</v>
      </c>
      <c r="I16" s="19">
        <f t="shared" si="4"/>
        <v>7.8677156954260041E-3</v>
      </c>
      <c r="J16" s="19">
        <f t="shared" si="4"/>
        <v>7.9386080973802634E-3</v>
      </c>
      <c r="K16" s="19">
        <f t="shared" si="4"/>
        <v>8.0073510107640383E-3</v>
      </c>
      <c r="L16" s="19">
        <f t="shared" si="4"/>
        <v>7.8135173850761852E-3</v>
      </c>
      <c r="M16" s="19">
        <f t="shared" si="4"/>
        <v>7.8821553172243493E-3</v>
      </c>
      <c r="N16" s="19">
        <f t="shared" si="4"/>
        <v>7.9487179487179056E-3</v>
      </c>
      <c r="O16" s="19">
        <f t="shared" si="4"/>
        <v>7.886034088018426E-3</v>
      </c>
      <c r="P16" s="19">
        <f t="shared" si="4"/>
        <v>7.9505300353357004E-3</v>
      </c>
      <c r="Q16" s="19">
        <f t="shared" si="4"/>
        <v>7.8878177037686337E-3</v>
      </c>
      <c r="R16" s="19">
        <f t="shared" si="4"/>
        <v>7.9503105590062739E-3</v>
      </c>
      <c r="S16" s="19">
        <f t="shared" si="4"/>
        <v>7.8876016761152707E-3</v>
      </c>
      <c r="T16" s="19">
        <f t="shared" si="4"/>
        <v>7.8258742968940215E-3</v>
      </c>
      <c r="U16" s="19">
        <f t="shared" si="4"/>
        <v>7.8864353312303962E-3</v>
      </c>
      <c r="V16" s="19">
        <f t="shared" si="4"/>
        <v>7.8247261345854007E-3</v>
      </c>
      <c r="W16" s="19">
        <f t="shared" si="4"/>
        <v>7.8834209268992036E-3</v>
      </c>
      <c r="X16" s="19">
        <f t="shared" si="4"/>
        <v>7.8217587105948016E-3</v>
      </c>
      <c r="Y16" s="20" t="s">
        <v>52</v>
      </c>
    </row>
    <row r="17" spans="1:25" ht="15.5" thickTop="1" thickBot="1" x14ac:dyDescent="0.4">
      <c r="A17" s="16" t="s">
        <v>50</v>
      </c>
      <c r="B17" s="21">
        <f>Assumptions!$B$5/12</f>
        <v>2.2114155899474668E-2</v>
      </c>
      <c r="C17" s="21">
        <f>Assumptions!$B$5/12</f>
        <v>2.2114155899474668E-2</v>
      </c>
      <c r="D17" s="21">
        <f>Assumptions!$B$5/12</f>
        <v>2.2114155899474668E-2</v>
      </c>
      <c r="E17" s="21">
        <f>Assumptions!$B$5/12</f>
        <v>2.2114155899474668E-2</v>
      </c>
      <c r="F17" s="21">
        <f>Assumptions!$B$5/12</f>
        <v>2.2114155899474668E-2</v>
      </c>
      <c r="G17" s="21">
        <f>Assumptions!$B$5/12</f>
        <v>2.2114155899474668E-2</v>
      </c>
      <c r="H17" s="21">
        <f>Assumptions!$B$5/12</f>
        <v>2.2114155899474668E-2</v>
      </c>
      <c r="I17" s="21">
        <f>Assumptions!$B$5/12</f>
        <v>2.2114155899474668E-2</v>
      </c>
      <c r="J17" s="21">
        <f>Assumptions!$B$5/12</f>
        <v>2.2114155899474668E-2</v>
      </c>
      <c r="K17" s="21">
        <f>Assumptions!$B$5/12</f>
        <v>2.2114155899474668E-2</v>
      </c>
      <c r="L17" s="21">
        <f>Assumptions!$B$5/12</f>
        <v>2.2114155899474668E-2</v>
      </c>
      <c r="M17" s="21">
        <f>Assumptions!$B$5/12</f>
        <v>2.2114155899474668E-2</v>
      </c>
      <c r="N17" s="21">
        <f>Assumptions!$B$5/12</f>
        <v>2.2114155899474668E-2</v>
      </c>
      <c r="O17" s="21">
        <f>Assumptions!$B$5/12</f>
        <v>2.2114155899474668E-2</v>
      </c>
      <c r="P17" s="21">
        <f>Assumptions!$B$5/12</f>
        <v>2.2114155899474668E-2</v>
      </c>
      <c r="Q17" s="21">
        <f>Assumptions!$B$5/12</f>
        <v>2.2114155899474668E-2</v>
      </c>
      <c r="R17" s="21">
        <f>Assumptions!$B$5/12</f>
        <v>2.2114155899474668E-2</v>
      </c>
      <c r="S17" s="21">
        <f>Assumptions!$B$5/12</f>
        <v>2.2114155899474668E-2</v>
      </c>
      <c r="T17" s="21">
        <f>Assumptions!$B$5/12</f>
        <v>2.2114155899474668E-2</v>
      </c>
      <c r="U17" s="21">
        <f>Assumptions!$B$5/12</f>
        <v>2.2114155899474668E-2</v>
      </c>
      <c r="V17" s="21">
        <f>Assumptions!$B$5/12</f>
        <v>2.2114155899474668E-2</v>
      </c>
      <c r="W17" s="21">
        <f>Assumptions!$B$5/12</f>
        <v>2.2114155899474668E-2</v>
      </c>
      <c r="X17" s="21">
        <f>Assumptions!$B$5/12</f>
        <v>2.2114155899474668E-2</v>
      </c>
      <c r="Y17" s="22" t="s">
        <v>52</v>
      </c>
    </row>
    <row r="18" spans="1:25" ht="15" thickTop="1" x14ac:dyDescent="0.35"/>
    <row r="20" spans="1:25" x14ac:dyDescent="0.35">
      <c r="Y20" s="9"/>
    </row>
    <row r="21" spans="1:25" x14ac:dyDescent="0.35">
      <c r="Y21" s="10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120E-07B4-4D85-84D2-F9AC66E2B5A9}">
  <sheetPr codeName="Sheet3">
    <tabColor theme="0" tint="-0.34998626667073579"/>
  </sheetPr>
  <dimension ref="A1:Y8"/>
  <sheetViews>
    <sheetView topLeftCell="Q1" workbookViewId="0">
      <selection activeCell="Y7" sqref="Y7"/>
    </sheetView>
  </sheetViews>
  <sheetFormatPr defaultRowHeight="14.5" x14ac:dyDescent="0.35"/>
  <cols>
    <col min="1" max="1" width="59.90625" bestFit="1" customWidth="1"/>
    <col min="2" max="25" width="17.26953125" bestFit="1" customWidth="1"/>
  </cols>
  <sheetData>
    <row r="1" spans="1:25" s="24" customFormat="1" ht="19.5" thickTop="1" thickBot="1" x14ac:dyDescent="0.5">
      <c r="A1" s="23" t="s">
        <v>53</v>
      </c>
      <c r="B1" s="23" t="s">
        <v>16</v>
      </c>
      <c r="C1" s="23" t="s">
        <v>17</v>
      </c>
      <c r="D1" s="23" t="s">
        <v>18</v>
      </c>
      <c r="E1" s="23" t="s">
        <v>19</v>
      </c>
      <c r="F1" s="23" t="s">
        <v>20</v>
      </c>
      <c r="G1" s="23" t="s">
        <v>21</v>
      </c>
      <c r="H1" s="23" t="s">
        <v>22</v>
      </c>
      <c r="I1" s="23" t="s">
        <v>23</v>
      </c>
      <c r="J1" s="23" t="s">
        <v>24</v>
      </c>
      <c r="K1" s="23" t="s">
        <v>25</v>
      </c>
      <c r="L1" s="23" t="s">
        <v>26</v>
      </c>
      <c r="M1" s="23" t="s">
        <v>27</v>
      </c>
      <c r="N1" s="23" t="s">
        <v>28</v>
      </c>
      <c r="O1" s="23" t="s">
        <v>29</v>
      </c>
      <c r="P1" s="23" t="s">
        <v>30</v>
      </c>
      <c r="Q1" s="23" t="s">
        <v>31</v>
      </c>
      <c r="R1" s="23" t="s">
        <v>32</v>
      </c>
      <c r="S1" s="23" t="s">
        <v>33</v>
      </c>
      <c r="T1" s="23" t="s">
        <v>34</v>
      </c>
      <c r="U1" s="23" t="s">
        <v>35</v>
      </c>
      <c r="V1" s="23" t="s">
        <v>36</v>
      </c>
      <c r="W1" s="23" t="s">
        <v>37</v>
      </c>
      <c r="X1" s="23" t="s">
        <v>38</v>
      </c>
      <c r="Y1" s="23" t="s">
        <v>39</v>
      </c>
    </row>
    <row r="2" spans="1:25" s="11" customFormat="1" ht="19" thickTop="1" x14ac:dyDescent="0.45">
      <c r="A2" s="11" t="s">
        <v>54</v>
      </c>
      <c r="B2" s="25">
        <f>'Revenue Model'!B14</f>
        <v>5473399.1999999993</v>
      </c>
      <c r="C2" s="25">
        <f>'Revenue Model'!C14</f>
        <v>5559661.7743575182</v>
      </c>
      <c r="D2" s="25">
        <f>'Revenue Model'!D14</f>
        <v>5603958.7720005671</v>
      </c>
      <c r="E2" s="25">
        <f>'Revenue Model'!E14</f>
        <v>5648255.7696436178</v>
      </c>
      <c r="F2" s="25">
        <f>'Revenue Model'!F14</f>
        <v>5692552.7672866676</v>
      </c>
      <c r="G2" s="25">
        <f>'Revenue Model'!G14</f>
        <v>5737626.905239244</v>
      </c>
      <c r="H2" s="25">
        <f>'Revenue Model'!H14</f>
        <v>5782701.0431918213</v>
      </c>
      <c r="I2" s="25">
        <f>'Revenue Model'!I14</f>
        <v>5827775.1811443986</v>
      </c>
      <c r="J2" s="25">
        <f>'Revenue Model'!J14</f>
        <v>5873626.4594065025</v>
      </c>
      <c r="K2" s="25">
        <f>'Revenue Model'!K14</f>
        <v>5920254.877978134</v>
      </c>
      <c r="L2" s="25">
        <f>'Revenue Model'!L14</f>
        <v>5967660.4368592929</v>
      </c>
      <c r="M2" s="25">
        <f>'Revenue Model'!M14</f>
        <v>6014288.8554309243</v>
      </c>
      <c r="N2" s="25">
        <f>'Revenue Model'!N14</f>
        <v>6061694.4143120823</v>
      </c>
      <c r="O2" s="25">
        <f>'Revenue Model'!O14</f>
        <v>6109877.1135027679</v>
      </c>
      <c r="P2" s="25">
        <f>'Revenue Model'!P14</f>
        <v>6158059.8126934543</v>
      </c>
      <c r="Q2" s="25">
        <f>'Revenue Model'!Q14</f>
        <v>6207019.6521936674</v>
      </c>
      <c r="R2" s="25">
        <f>'Revenue Model'!R14</f>
        <v>6255979.4916938804</v>
      </c>
      <c r="S2" s="25">
        <f>'Revenue Model'!S14</f>
        <v>6305716.471503621</v>
      </c>
      <c r="T2" s="25">
        <f>'Revenue Model'!T14</f>
        <v>6355453.4513133606</v>
      </c>
      <c r="U2" s="25">
        <f>'Revenue Model'!U14</f>
        <v>6405190.4311231002</v>
      </c>
      <c r="V2" s="25">
        <f>'Revenue Model'!V14</f>
        <v>6455704.5512423683</v>
      </c>
      <c r="W2" s="25">
        <f>'Revenue Model'!W14</f>
        <v>6506218.6713616364</v>
      </c>
      <c r="X2" s="25">
        <f>'Revenue Model'!X14</f>
        <v>6557509.931790431</v>
      </c>
      <c r="Y2" s="25">
        <f>'Revenue Model'!Y14</f>
        <v>6608801.1922192248</v>
      </c>
    </row>
    <row r="3" spans="1:25" s="11" customFormat="1" ht="18.5" x14ac:dyDescent="0.45">
      <c r="A3" s="11" t="s">
        <v>55</v>
      </c>
      <c r="B3" s="25">
        <f>B2-(B2*0.72)</f>
        <v>1532551.7760000001</v>
      </c>
      <c r="C3" s="25">
        <f t="shared" ref="C3:Y3" si="0">C2-(C2*0.72)</f>
        <v>1556705.2968201051</v>
      </c>
      <c r="D3" s="25">
        <f t="shared" si="0"/>
        <v>1569108.4561601589</v>
      </c>
      <c r="E3" s="25">
        <f t="shared" si="0"/>
        <v>1581511.6155002131</v>
      </c>
      <c r="F3" s="25">
        <f t="shared" si="0"/>
        <v>1593914.7748402669</v>
      </c>
      <c r="G3" s="25">
        <f t="shared" si="0"/>
        <v>1606535.5334669882</v>
      </c>
      <c r="H3" s="25">
        <f t="shared" si="0"/>
        <v>1619156.29209371</v>
      </c>
      <c r="I3" s="25">
        <f t="shared" si="0"/>
        <v>1631777.0507204318</v>
      </c>
      <c r="J3" s="25">
        <f t="shared" si="0"/>
        <v>1644615.4086338207</v>
      </c>
      <c r="K3" s="25">
        <f t="shared" si="0"/>
        <v>1657671.3658338776</v>
      </c>
      <c r="L3" s="25">
        <f t="shared" si="0"/>
        <v>1670944.9223206025</v>
      </c>
      <c r="M3" s="25">
        <f t="shared" si="0"/>
        <v>1684000.8795206593</v>
      </c>
      <c r="N3" s="25">
        <f t="shared" si="0"/>
        <v>1697274.4360073833</v>
      </c>
      <c r="O3" s="25">
        <f t="shared" si="0"/>
        <v>1710765.5917807752</v>
      </c>
      <c r="P3" s="25">
        <f t="shared" si="0"/>
        <v>1724256.7475541672</v>
      </c>
      <c r="Q3" s="25">
        <f t="shared" si="0"/>
        <v>1737965.5026142271</v>
      </c>
      <c r="R3" s="25">
        <f t="shared" si="0"/>
        <v>1751674.2576742871</v>
      </c>
      <c r="S3" s="25">
        <f t="shared" si="0"/>
        <v>1765600.6120210141</v>
      </c>
      <c r="T3" s="25">
        <f t="shared" si="0"/>
        <v>1779526.9663677411</v>
      </c>
      <c r="U3" s="25">
        <f t="shared" si="0"/>
        <v>1793453.3207144681</v>
      </c>
      <c r="V3" s="25">
        <f t="shared" si="0"/>
        <v>1807597.2743478632</v>
      </c>
      <c r="W3" s="25">
        <f t="shared" si="0"/>
        <v>1821741.2279812582</v>
      </c>
      <c r="X3" s="25">
        <f t="shared" si="0"/>
        <v>1836102.7809013212</v>
      </c>
      <c r="Y3" s="25">
        <f t="shared" si="0"/>
        <v>1850464.3338213833</v>
      </c>
    </row>
    <row r="4" spans="1:25" s="11" customFormat="1" ht="18.5" x14ac:dyDescent="0.45">
      <c r="A4" s="11" t="s">
        <v>56</v>
      </c>
      <c r="B4" s="25">
        <f>B2-B3</f>
        <v>3940847.4239999992</v>
      </c>
      <c r="C4" s="25">
        <f t="shared" ref="C4:Y4" si="1">C2-C3</f>
        <v>4002956.4775374131</v>
      </c>
      <c r="D4" s="25">
        <f t="shared" si="1"/>
        <v>4034850.3158404082</v>
      </c>
      <c r="E4" s="25">
        <f t="shared" si="1"/>
        <v>4066744.1541434047</v>
      </c>
      <c r="F4" s="25">
        <f t="shared" si="1"/>
        <v>4098637.9924464007</v>
      </c>
      <c r="G4" s="25">
        <f t="shared" si="1"/>
        <v>4131091.3717722557</v>
      </c>
      <c r="H4" s="25">
        <f t="shared" si="1"/>
        <v>4163544.7510981113</v>
      </c>
      <c r="I4" s="25">
        <f t="shared" si="1"/>
        <v>4195998.1304239668</v>
      </c>
      <c r="J4" s="25">
        <f t="shared" si="1"/>
        <v>4229011.0507726818</v>
      </c>
      <c r="K4" s="25">
        <f t="shared" si="1"/>
        <v>4262583.5121442564</v>
      </c>
      <c r="L4" s="25">
        <f t="shared" si="1"/>
        <v>4296715.5145386904</v>
      </c>
      <c r="M4" s="25">
        <f t="shared" si="1"/>
        <v>4330287.975910265</v>
      </c>
      <c r="N4" s="25">
        <f t="shared" si="1"/>
        <v>4364419.9783046991</v>
      </c>
      <c r="O4" s="25">
        <f t="shared" si="1"/>
        <v>4399111.5217219926</v>
      </c>
      <c r="P4" s="25">
        <f t="shared" si="1"/>
        <v>4433803.0651392872</v>
      </c>
      <c r="Q4" s="25">
        <f t="shared" si="1"/>
        <v>4469054.1495794402</v>
      </c>
      <c r="R4" s="25">
        <f t="shared" si="1"/>
        <v>4504305.2340195933</v>
      </c>
      <c r="S4" s="25">
        <f t="shared" si="1"/>
        <v>4540115.8594826069</v>
      </c>
      <c r="T4" s="25">
        <f t="shared" si="1"/>
        <v>4575926.4849456195</v>
      </c>
      <c r="U4" s="25">
        <f t="shared" si="1"/>
        <v>4611737.1104086321</v>
      </c>
      <c r="V4" s="25">
        <f t="shared" si="1"/>
        <v>4648107.2768945051</v>
      </c>
      <c r="W4" s="25">
        <f t="shared" si="1"/>
        <v>4684477.4433803782</v>
      </c>
      <c r="X4" s="25">
        <f t="shared" si="1"/>
        <v>4721407.1508891098</v>
      </c>
      <c r="Y4" s="25">
        <f t="shared" si="1"/>
        <v>4758336.8583978415</v>
      </c>
    </row>
    <row r="5" spans="1:25" s="11" customFormat="1" ht="18.5" x14ac:dyDescent="0.45">
      <c r="A5" s="11" t="s">
        <v>57</v>
      </c>
      <c r="B5" s="25">
        <f>B2*SUM(Assumptions!$B$11:$B$13)</f>
        <v>2736699.5999999996</v>
      </c>
      <c r="C5" s="25">
        <f>C2*SUM(Assumptions!$B$11:$B$13)</f>
        <v>2779830.8871787591</v>
      </c>
      <c r="D5" s="25">
        <f>D2*SUM(Assumptions!$B$11:$B$13)</f>
        <v>2801979.3860002835</v>
      </c>
      <c r="E5" s="25">
        <f>E2*SUM(Assumptions!$B$11:$B$13)</f>
        <v>2824127.8848218089</v>
      </c>
      <c r="F5" s="25">
        <f>F2*SUM(Assumptions!$B$11:$B$13)</f>
        <v>2846276.3836433338</v>
      </c>
      <c r="G5" s="25">
        <f>G2*SUM(Assumptions!$B$11:$B$13)</f>
        <v>2868813.452619622</v>
      </c>
      <c r="H5" s="25">
        <f>H2*SUM(Assumptions!$B$11:$B$13)</f>
        <v>2891350.5215959107</v>
      </c>
      <c r="I5" s="25">
        <f>I2*SUM(Assumptions!$B$11:$B$13)</f>
        <v>2913887.5905721993</v>
      </c>
      <c r="J5" s="25">
        <f>J2*SUM(Assumptions!$B$11:$B$13)</f>
        <v>2936813.2297032513</v>
      </c>
      <c r="K5" s="25">
        <f>K2*SUM(Assumptions!$B$11:$B$13)</f>
        <v>2960127.438989067</v>
      </c>
      <c r="L5" s="25">
        <f>L2*SUM(Assumptions!$B$11:$B$13)</f>
        <v>2983830.2184296465</v>
      </c>
      <c r="M5" s="25">
        <f>M2*SUM(Assumptions!$B$11:$B$13)</f>
        <v>3007144.4277154622</v>
      </c>
      <c r="N5" s="25">
        <f>N2*SUM(Assumptions!$B$11:$B$13)</f>
        <v>3030847.2071560412</v>
      </c>
      <c r="O5" s="25">
        <f>O2*SUM(Assumptions!$B$11:$B$13)</f>
        <v>3054938.5567513839</v>
      </c>
      <c r="P5" s="25">
        <f>P2*SUM(Assumptions!$B$11:$B$13)</f>
        <v>3079029.9063467272</v>
      </c>
      <c r="Q5" s="25">
        <f>Q2*SUM(Assumptions!$B$11:$B$13)</f>
        <v>3103509.8260968337</v>
      </c>
      <c r="R5" s="25">
        <f>R2*SUM(Assumptions!$B$11:$B$13)</f>
        <v>3127989.7458469402</v>
      </c>
      <c r="S5" s="25">
        <f>S2*SUM(Assumptions!$B$11:$B$13)</f>
        <v>3152858.2357518105</v>
      </c>
      <c r="T5" s="25">
        <f>T2*SUM(Assumptions!$B$11:$B$13)</f>
        <v>3177726.7256566803</v>
      </c>
      <c r="U5" s="25">
        <f>U2*SUM(Assumptions!$B$11:$B$13)</f>
        <v>3202595.2155615501</v>
      </c>
      <c r="V5" s="25">
        <f>V2*SUM(Assumptions!$B$11:$B$13)</f>
        <v>3227852.2756211841</v>
      </c>
      <c r="W5" s="25">
        <f>W2*SUM(Assumptions!$B$11:$B$13)</f>
        <v>3253109.3356808182</v>
      </c>
      <c r="X5" s="25">
        <f>X2*SUM(Assumptions!$B$11:$B$13)</f>
        <v>3278754.9658952155</v>
      </c>
      <c r="Y5" s="25">
        <f>Y2*SUM(Assumptions!$B$11:$B$13)</f>
        <v>3304400.5961096124</v>
      </c>
    </row>
    <row r="6" spans="1:25" s="11" customFormat="1" ht="19" thickBot="1" x14ac:dyDescent="0.5">
      <c r="A6" s="11" t="s">
        <v>58</v>
      </c>
      <c r="B6" s="25">
        <f>B4-B5</f>
        <v>1204147.8239999996</v>
      </c>
      <c r="C6" s="25">
        <f t="shared" ref="C6:Y6" si="2">C4-C5</f>
        <v>1223125.590358654</v>
      </c>
      <c r="D6" s="25">
        <f t="shared" si="2"/>
        <v>1232870.9298401247</v>
      </c>
      <c r="E6" s="25">
        <f t="shared" si="2"/>
        <v>1242616.2693215958</v>
      </c>
      <c r="F6" s="25">
        <f t="shared" si="2"/>
        <v>1252361.6088030669</v>
      </c>
      <c r="G6" s="25">
        <f t="shared" si="2"/>
        <v>1262277.9191526338</v>
      </c>
      <c r="H6" s="25">
        <f t="shared" si="2"/>
        <v>1272194.2295022006</v>
      </c>
      <c r="I6" s="25">
        <f t="shared" si="2"/>
        <v>1282110.5398517675</v>
      </c>
      <c r="J6" s="25">
        <f t="shared" si="2"/>
        <v>1292197.8210694306</v>
      </c>
      <c r="K6" s="25">
        <f t="shared" si="2"/>
        <v>1302456.0731551894</v>
      </c>
      <c r="L6" s="25">
        <f t="shared" si="2"/>
        <v>1312885.296109044</v>
      </c>
      <c r="M6" s="25">
        <f t="shared" si="2"/>
        <v>1323143.5481948028</v>
      </c>
      <c r="N6" s="25">
        <f t="shared" si="2"/>
        <v>1333572.7711486579</v>
      </c>
      <c r="O6" s="25">
        <f t="shared" si="2"/>
        <v>1344172.9649706087</v>
      </c>
      <c r="P6" s="25">
        <f t="shared" si="2"/>
        <v>1354773.15879256</v>
      </c>
      <c r="Q6" s="25">
        <f t="shared" si="2"/>
        <v>1365544.3234826066</v>
      </c>
      <c r="R6" s="25">
        <f t="shared" si="2"/>
        <v>1376315.4881726531</v>
      </c>
      <c r="S6" s="25">
        <f t="shared" si="2"/>
        <v>1387257.6237307964</v>
      </c>
      <c r="T6" s="25">
        <f t="shared" si="2"/>
        <v>1398199.7592889392</v>
      </c>
      <c r="U6" s="25">
        <f t="shared" si="2"/>
        <v>1409141.894847082</v>
      </c>
      <c r="V6" s="25">
        <f t="shared" si="2"/>
        <v>1420255.001273321</v>
      </c>
      <c r="W6" s="25">
        <f t="shared" si="2"/>
        <v>1431368.10769956</v>
      </c>
      <c r="X6" s="25">
        <f t="shared" si="2"/>
        <v>1442652.1849938943</v>
      </c>
      <c r="Y6" s="25">
        <f t="shared" si="2"/>
        <v>1453936.2622882291</v>
      </c>
    </row>
    <row r="7" spans="1:25" s="11" customFormat="1" ht="19" thickBot="1" x14ac:dyDescent="0.5">
      <c r="A7" s="26" t="s">
        <v>59</v>
      </c>
      <c r="B7" s="27">
        <f>B6*(1-0.25)</f>
        <v>903110.86799999967</v>
      </c>
      <c r="C7" s="27">
        <f t="shared" ref="C7:Y7" si="3">C6*(1-0.25)</f>
        <v>917344.19276899053</v>
      </c>
      <c r="D7" s="27">
        <f t="shared" si="3"/>
        <v>924653.19738009351</v>
      </c>
      <c r="E7" s="27">
        <f t="shared" si="3"/>
        <v>931962.20199119684</v>
      </c>
      <c r="F7" s="27">
        <f t="shared" si="3"/>
        <v>939271.20660230017</v>
      </c>
      <c r="G7" s="27">
        <f t="shared" si="3"/>
        <v>946708.43936447531</v>
      </c>
      <c r="H7" s="27">
        <f t="shared" si="3"/>
        <v>954145.67212665046</v>
      </c>
      <c r="I7" s="27">
        <f t="shared" si="3"/>
        <v>961582.90488882561</v>
      </c>
      <c r="J7" s="27">
        <f t="shared" si="3"/>
        <v>969148.36580207292</v>
      </c>
      <c r="K7" s="27">
        <f t="shared" si="3"/>
        <v>976842.05486639205</v>
      </c>
      <c r="L7" s="27">
        <f t="shared" si="3"/>
        <v>984663.97208178299</v>
      </c>
      <c r="M7" s="27">
        <f t="shared" si="3"/>
        <v>992357.66114610212</v>
      </c>
      <c r="N7" s="27">
        <f t="shared" si="3"/>
        <v>1000179.5783614934</v>
      </c>
      <c r="O7" s="27">
        <f t="shared" si="3"/>
        <v>1008129.7237279565</v>
      </c>
      <c r="P7" s="27">
        <f t="shared" si="3"/>
        <v>1016079.86909442</v>
      </c>
      <c r="Q7" s="27">
        <f t="shared" si="3"/>
        <v>1024158.2426119549</v>
      </c>
      <c r="R7" s="27">
        <f t="shared" si="3"/>
        <v>1032236.6161294898</v>
      </c>
      <c r="S7" s="27">
        <f t="shared" si="3"/>
        <v>1040443.2177980973</v>
      </c>
      <c r="T7" s="27">
        <f t="shared" si="3"/>
        <v>1048649.8194667045</v>
      </c>
      <c r="U7" s="27">
        <f t="shared" si="3"/>
        <v>1056856.4211353115</v>
      </c>
      <c r="V7" s="27">
        <f t="shared" si="3"/>
        <v>1065191.2509549907</v>
      </c>
      <c r="W7" s="27">
        <f t="shared" si="3"/>
        <v>1073526.08077467</v>
      </c>
      <c r="X7" s="27">
        <f t="shared" si="3"/>
        <v>1081989.1387454206</v>
      </c>
      <c r="Y7" s="28">
        <f t="shared" si="3"/>
        <v>1090452.1967161717</v>
      </c>
    </row>
    <row r="8" spans="1:25" x14ac:dyDescent="0.35">
      <c r="B8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A0316-A012-4555-9B11-2920596404E8}">
  <sheetPr codeName="Sheet5">
    <tabColor theme="0" tint="-0.34998626667073579"/>
  </sheetPr>
  <dimension ref="A1:Y19"/>
  <sheetViews>
    <sheetView workbookViewId="0">
      <selection sqref="A1:XFD1048576"/>
    </sheetView>
  </sheetViews>
  <sheetFormatPr defaultRowHeight="14.5" x14ac:dyDescent="0.35"/>
  <cols>
    <col min="1" max="1" width="30.26953125" bestFit="1" customWidth="1"/>
    <col min="2" max="3" width="12.08984375" bestFit="1" customWidth="1"/>
    <col min="4" max="25" width="13.6328125" bestFit="1" customWidth="1"/>
  </cols>
  <sheetData>
    <row r="1" spans="1:25" ht="22" thickTop="1" thickBot="1" x14ac:dyDescent="0.55000000000000004">
      <c r="A1" s="30" t="s">
        <v>60</v>
      </c>
      <c r="B1" s="31" t="s">
        <v>16</v>
      </c>
      <c r="C1" s="32" t="s">
        <v>17</v>
      </c>
      <c r="D1" s="29" t="s">
        <v>18</v>
      </c>
      <c r="E1" s="23" t="s">
        <v>19</v>
      </c>
      <c r="F1" s="23" t="s">
        <v>20</v>
      </c>
      <c r="G1" s="23" t="s">
        <v>21</v>
      </c>
      <c r="H1" s="23" t="s">
        <v>22</v>
      </c>
      <c r="I1" s="23" t="s">
        <v>23</v>
      </c>
      <c r="J1" s="23" t="s">
        <v>24</v>
      </c>
      <c r="K1" s="23" t="s">
        <v>25</v>
      </c>
      <c r="L1" s="23" t="s">
        <v>26</v>
      </c>
      <c r="M1" s="23" t="s">
        <v>27</v>
      </c>
      <c r="N1" s="23" t="s">
        <v>28</v>
      </c>
      <c r="O1" s="23" t="s">
        <v>29</v>
      </c>
      <c r="P1" s="23" t="s">
        <v>30</v>
      </c>
      <c r="Q1" s="23" t="s">
        <v>31</v>
      </c>
      <c r="R1" s="23" t="s">
        <v>32</v>
      </c>
      <c r="S1" s="23" t="s">
        <v>33</v>
      </c>
      <c r="T1" s="23" t="s">
        <v>34</v>
      </c>
      <c r="U1" s="23" t="s">
        <v>35</v>
      </c>
      <c r="V1" s="23" t="s">
        <v>36</v>
      </c>
      <c r="W1" s="23" t="s">
        <v>37</v>
      </c>
      <c r="X1" s="23" t="s">
        <v>38</v>
      </c>
      <c r="Y1" s="23" t="s">
        <v>39</v>
      </c>
    </row>
    <row r="3" spans="1:25" ht="18.5" x14ac:dyDescent="0.45">
      <c r="A3" s="11" t="s">
        <v>61</v>
      </c>
      <c r="B3" s="9"/>
    </row>
    <row r="4" spans="1:25" ht="18.5" x14ac:dyDescent="0.45">
      <c r="A4" s="11" t="s">
        <v>62</v>
      </c>
      <c r="B4" s="9">
        <f>'P&amp;L'!B7</f>
        <v>903110.86799999967</v>
      </c>
      <c r="C4" s="9">
        <f>'P&amp;L'!C7</f>
        <v>917344.19276899053</v>
      </c>
      <c r="D4" s="9">
        <f>'P&amp;L'!D7</f>
        <v>924653.19738009351</v>
      </c>
      <c r="E4" s="9">
        <f>'P&amp;L'!E7</f>
        <v>931962.20199119684</v>
      </c>
      <c r="F4" s="9">
        <f>'P&amp;L'!F7</f>
        <v>939271.20660230017</v>
      </c>
      <c r="G4" s="9">
        <f>'P&amp;L'!G7</f>
        <v>946708.43936447531</v>
      </c>
      <c r="H4" s="9">
        <f>'P&amp;L'!H7</f>
        <v>954145.67212665046</v>
      </c>
      <c r="I4" s="9">
        <f>'P&amp;L'!I7</f>
        <v>961582.90488882561</v>
      </c>
      <c r="J4" s="9">
        <f>'P&amp;L'!J7</f>
        <v>969148.36580207292</v>
      </c>
      <c r="K4" s="9">
        <f>'P&amp;L'!K7</f>
        <v>976842.05486639205</v>
      </c>
      <c r="L4" s="9">
        <f>'P&amp;L'!L7</f>
        <v>984663.97208178299</v>
      </c>
      <c r="M4" s="9">
        <f>'P&amp;L'!M7</f>
        <v>992357.66114610212</v>
      </c>
      <c r="N4" s="9">
        <f>'P&amp;L'!N7</f>
        <v>1000179.5783614934</v>
      </c>
      <c r="O4" s="9">
        <f>'P&amp;L'!O7</f>
        <v>1008129.7237279565</v>
      </c>
      <c r="P4" s="9">
        <f>'P&amp;L'!P7</f>
        <v>1016079.86909442</v>
      </c>
      <c r="Q4" s="9">
        <f>'P&amp;L'!Q7</f>
        <v>1024158.2426119549</v>
      </c>
      <c r="R4" s="9">
        <f>'P&amp;L'!R7</f>
        <v>1032236.6161294898</v>
      </c>
      <c r="S4" s="9">
        <f>'P&amp;L'!S7</f>
        <v>1040443.2177980973</v>
      </c>
      <c r="T4" s="9">
        <f>'P&amp;L'!T7</f>
        <v>1048649.8194667045</v>
      </c>
      <c r="U4" s="9">
        <f>'P&amp;L'!U7</f>
        <v>1056856.4211353115</v>
      </c>
      <c r="V4" s="9">
        <f>'P&amp;L'!V7</f>
        <v>1065191.2509549907</v>
      </c>
      <c r="W4" s="9">
        <f>'P&amp;L'!W7</f>
        <v>1073526.08077467</v>
      </c>
      <c r="X4" s="9">
        <f>'P&amp;L'!X7</f>
        <v>1081989.1387454206</v>
      </c>
      <c r="Y4" s="9">
        <f>'P&amp;L'!Y7</f>
        <v>1090452.1967161717</v>
      </c>
    </row>
    <row r="5" spans="1:25" ht="18.5" x14ac:dyDescent="0.45">
      <c r="A5" s="11" t="s">
        <v>63</v>
      </c>
      <c r="B5" s="9">
        <f>('Revenue Model'!B13)*1/12</f>
        <v>38009.716666666667</v>
      </c>
      <c r="C5" s="9">
        <f>('Revenue Model'!C13)*1/12</f>
        <v>38608.762321927206</v>
      </c>
      <c r="D5" s="9">
        <f>('Revenue Model'!D13)*1/12</f>
        <v>38916.380361115051</v>
      </c>
      <c r="E5" s="9">
        <f>('Revenue Model'!E13)*1/12</f>
        <v>39223.998400302902</v>
      </c>
      <c r="F5" s="9">
        <f>('Revenue Model'!F13)*1/12</f>
        <v>39531.616439490746</v>
      </c>
      <c r="G5" s="9">
        <f>('Revenue Model'!G13)*1/12</f>
        <v>39844.631286383643</v>
      </c>
      <c r="H5" s="9">
        <f>('Revenue Model'!H13)*1/12</f>
        <v>40157.646133276539</v>
      </c>
      <c r="I5" s="9">
        <f>('Revenue Model'!I13)*1/12</f>
        <v>40470.660980169436</v>
      </c>
      <c r="J5" s="9">
        <f>('Revenue Model'!J13)*1/12</f>
        <v>40789.072634767377</v>
      </c>
      <c r="K5" s="9">
        <f>('Revenue Model'!K13)*1/12</f>
        <v>41112.881097070371</v>
      </c>
      <c r="L5" s="9">
        <f>('Revenue Model'!L13)*1/12</f>
        <v>41442.086367078424</v>
      </c>
      <c r="M5" s="9">
        <f>('Revenue Model'!M13)*1/12</f>
        <v>41765.894829381417</v>
      </c>
      <c r="N5" s="9">
        <f>('Revenue Model'!N13)*1/12</f>
        <v>42095.100099389463</v>
      </c>
      <c r="O5" s="9">
        <f>('Revenue Model'!O13)*1/12</f>
        <v>42429.702177102554</v>
      </c>
      <c r="P5" s="9">
        <f>('Revenue Model'!P13)*1/12</f>
        <v>42764.304254815652</v>
      </c>
      <c r="Q5" s="9">
        <f>('Revenue Model'!Q13)*1/12</f>
        <v>43104.303140233802</v>
      </c>
      <c r="R5" s="9">
        <f>('Revenue Model'!R13)*1/12</f>
        <v>43444.302025651945</v>
      </c>
      <c r="S5" s="9">
        <f>('Revenue Model'!S13)*1/12</f>
        <v>43789.69771877514</v>
      </c>
      <c r="T5" s="9">
        <f>('Revenue Model'!T13)*1/12</f>
        <v>44135.093411898335</v>
      </c>
      <c r="U5" s="9">
        <f>('Revenue Model'!U13)*1/12</f>
        <v>44480.48910502153</v>
      </c>
      <c r="V5" s="9">
        <f>('Revenue Model'!V13)*1/12</f>
        <v>44831.281605849777</v>
      </c>
      <c r="W5" s="9">
        <f>('Revenue Model'!W13)*1/12</f>
        <v>45182.074106678025</v>
      </c>
      <c r="X5" s="9">
        <f>('Revenue Model'!X13)*1/12</f>
        <v>45538.263415211324</v>
      </c>
      <c r="Y5" s="9">
        <f>('Revenue Model'!Y13)*1/12</f>
        <v>45894.452723744616</v>
      </c>
    </row>
    <row r="6" spans="1:25" ht="18.5" x14ac:dyDescent="0.45">
      <c r="A6" s="11" t="s">
        <v>64</v>
      </c>
      <c r="B6" s="9">
        <f>SUM(B4:B5)</f>
        <v>941120.58466666634</v>
      </c>
      <c r="C6" s="9">
        <f t="shared" ref="C6:Y6" si="0">SUM(C4:C5)</f>
        <v>955952.95509091776</v>
      </c>
      <c r="D6" s="9">
        <f t="shared" si="0"/>
        <v>963569.5777412086</v>
      </c>
      <c r="E6" s="9">
        <f t="shared" si="0"/>
        <v>971186.20039149979</v>
      </c>
      <c r="F6" s="9">
        <f t="shared" si="0"/>
        <v>978802.82304179086</v>
      </c>
      <c r="G6" s="9">
        <f t="shared" si="0"/>
        <v>986553.07065085892</v>
      </c>
      <c r="H6" s="9">
        <f t="shared" si="0"/>
        <v>994303.31825992698</v>
      </c>
      <c r="I6" s="9">
        <f t="shared" si="0"/>
        <v>1002053.565868995</v>
      </c>
      <c r="J6" s="9">
        <f t="shared" si="0"/>
        <v>1009937.4384368403</v>
      </c>
      <c r="K6" s="9">
        <f t="shared" si="0"/>
        <v>1017954.9359634625</v>
      </c>
      <c r="L6" s="9">
        <f t="shared" si="0"/>
        <v>1026106.0584488615</v>
      </c>
      <c r="M6" s="9">
        <f t="shared" si="0"/>
        <v>1034123.5559754835</v>
      </c>
      <c r="N6" s="9">
        <f t="shared" si="0"/>
        <v>1042274.6784608829</v>
      </c>
      <c r="O6" s="9">
        <f t="shared" si="0"/>
        <v>1050559.4259050591</v>
      </c>
      <c r="P6" s="9">
        <f t="shared" si="0"/>
        <v>1058844.1733492357</v>
      </c>
      <c r="Q6" s="9">
        <f t="shared" si="0"/>
        <v>1067262.5457521887</v>
      </c>
      <c r="R6" s="9">
        <f t="shared" si="0"/>
        <v>1075680.9181551419</v>
      </c>
      <c r="S6" s="9">
        <f t="shared" si="0"/>
        <v>1084232.9155168724</v>
      </c>
      <c r="T6" s="9">
        <f t="shared" si="0"/>
        <v>1092784.9128786027</v>
      </c>
      <c r="U6" s="9">
        <f t="shared" si="0"/>
        <v>1101336.9102403331</v>
      </c>
      <c r="V6" s="9">
        <f t="shared" si="0"/>
        <v>1110022.5325608405</v>
      </c>
      <c r="W6" s="9">
        <f t="shared" si="0"/>
        <v>1118708.1548813481</v>
      </c>
      <c r="X6" s="9">
        <f t="shared" si="0"/>
        <v>1127527.402160632</v>
      </c>
      <c r="Y6" s="9">
        <f t="shared" si="0"/>
        <v>1136346.6494399162</v>
      </c>
    </row>
    <row r="7" spans="1:25" ht="19" thickBot="1" x14ac:dyDescent="0.5">
      <c r="A7" s="11"/>
    </row>
    <row r="8" spans="1:25" s="12" customFormat="1" ht="19" thickBot="1" x14ac:dyDescent="0.5">
      <c r="A8" s="26" t="s">
        <v>65</v>
      </c>
      <c r="B8" s="33">
        <f>B6</f>
        <v>941120.58466666634</v>
      </c>
      <c r="C8" s="33">
        <f t="shared" ref="C8:Y8" si="1">C6</f>
        <v>955952.95509091776</v>
      </c>
      <c r="D8" s="33">
        <f t="shared" si="1"/>
        <v>963569.5777412086</v>
      </c>
      <c r="E8" s="33">
        <f t="shared" si="1"/>
        <v>971186.20039149979</v>
      </c>
      <c r="F8" s="33">
        <f t="shared" si="1"/>
        <v>978802.82304179086</v>
      </c>
      <c r="G8" s="33">
        <f t="shared" si="1"/>
        <v>986553.07065085892</v>
      </c>
      <c r="H8" s="33">
        <f t="shared" si="1"/>
        <v>994303.31825992698</v>
      </c>
      <c r="I8" s="33">
        <f t="shared" si="1"/>
        <v>1002053.565868995</v>
      </c>
      <c r="J8" s="33">
        <f t="shared" si="1"/>
        <v>1009937.4384368403</v>
      </c>
      <c r="K8" s="33">
        <f t="shared" si="1"/>
        <v>1017954.9359634625</v>
      </c>
      <c r="L8" s="33">
        <f t="shared" si="1"/>
        <v>1026106.0584488615</v>
      </c>
      <c r="M8" s="33">
        <f t="shared" si="1"/>
        <v>1034123.5559754835</v>
      </c>
      <c r="N8" s="33">
        <f t="shared" si="1"/>
        <v>1042274.6784608829</v>
      </c>
      <c r="O8" s="33">
        <f t="shared" si="1"/>
        <v>1050559.4259050591</v>
      </c>
      <c r="P8" s="33">
        <f t="shared" si="1"/>
        <v>1058844.1733492357</v>
      </c>
      <c r="Q8" s="33">
        <f t="shared" si="1"/>
        <v>1067262.5457521887</v>
      </c>
      <c r="R8" s="33">
        <f t="shared" si="1"/>
        <v>1075680.9181551419</v>
      </c>
      <c r="S8" s="33">
        <f t="shared" si="1"/>
        <v>1084232.9155168724</v>
      </c>
      <c r="T8" s="33">
        <f t="shared" si="1"/>
        <v>1092784.9128786027</v>
      </c>
      <c r="U8" s="33">
        <f t="shared" si="1"/>
        <v>1101336.9102403331</v>
      </c>
      <c r="V8" s="33">
        <f t="shared" si="1"/>
        <v>1110022.5325608405</v>
      </c>
      <c r="W8" s="33">
        <f t="shared" si="1"/>
        <v>1118708.1548813481</v>
      </c>
      <c r="X8" s="33">
        <f t="shared" si="1"/>
        <v>1127527.402160632</v>
      </c>
      <c r="Y8" s="33">
        <f t="shared" si="1"/>
        <v>1136346.6494399162</v>
      </c>
    </row>
    <row r="9" spans="1:25" ht="18.5" x14ac:dyDescent="0.45">
      <c r="A9" s="11"/>
    </row>
    <row r="10" spans="1:25" ht="18.5" x14ac:dyDescent="0.45">
      <c r="A10" s="11" t="s">
        <v>66</v>
      </c>
    </row>
    <row r="11" spans="1:25" ht="18.5" x14ac:dyDescent="0.45">
      <c r="A11" s="11" t="s">
        <v>67</v>
      </c>
      <c r="B11" s="9">
        <f>('Revenue Model'!B13)*1/12</f>
        <v>38009.716666666667</v>
      </c>
      <c r="C11" s="9">
        <f>('Revenue Model'!C13)*1/12</f>
        <v>38608.762321927206</v>
      </c>
      <c r="D11" s="9">
        <f>('Revenue Model'!D13)*1/12</f>
        <v>38916.380361115051</v>
      </c>
      <c r="E11" s="9">
        <f>('Revenue Model'!E13)*1/12</f>
        <v>39223.998400302902</v>
      </c>
      <c r="F11" s="9">
        <f>('Revenue Model'!F13)*1/12</f>
        <v>39531.616439490746</v>
      </c>
      <c r="G11" s="9">
        <f>('Revenue Model'!G13)*1/12</f>
        <v>39844.631286383643</v>
      </c>
      <c r="H11" s="9">
        <f>('Revenue Model'!H13)*1/12</f>
        <v>40157.646133276539</v>
      </c>
      <c r="I11" s="9">
        <f>('Revenue Model'!I13)*1/12</f>
        <v>40470.660980169436</v>
      </c>
      <c r="J11" s="9">
        <f>('Revenue Model'!J13)*1/12</f>
        <v>40789.072634767377</v>
      </c>
      <c r="K11" s="9">
        <f>('Revenue Model'!K13)*1/12</f>
        <v>41112.881097070371</v>
      </c>
      <c r="L11" s="9">
        <f>('Revenue Model'!L13)*1/12</f>
        <v>41442.086367078424</v>
      </c>
      <c r="M11" s="9">
        <f>('Revenue Model'!M13)*1/12</f>
        <v>41765.894829381417</v>
      </c>
      <c r="N11" s="9">
        <f>('Revenue Model'!N13)*1/12</f>
        <v>42095.100099389463</v>
      </c>
      <c r="O11" s="9">
        <f>('Revenue Model'!O13)*1/12</f>
        <v>42429.702177102554</v>
      </c>
      <c r="P11" s="9">
        <f>('Revenue Model'!P13)*1/12</f>
        <v>42764.304254815652</v>
      </c>
      <c r="Q11" s="9">
        <f>('Revenue Model'!Q13)*1/12</f>
        <v>43104.303140233802</v>
      </c>
      <c r="R11" s="9">
        <f>('Revenue Model'!R13)*1/12</f>
        <v>43444.302025651945</v>
      </c>
      <c r="S11" s="9">
        <f>('Revenue Model'!S13)*1/12</f>
        <v>43789.69771877514</v>
      </c>
      <c r="T11" s="9">
        <f>('Revenue Model'!T13)*1/12</f>
        <v>44135.093411898335</v>
      </c>
      <c r="U11" s="9">
        <f>('Revenue Model'!U13)*1/12</f>
        <v>44480.48910502153</v>
      </c>
      <c r="V11" s="9">
        <f>('Revenue Model'!V13)*1/12</f>
        <v>44831.281605849777</v>
      </c>
      <c r="W11" s="9">
        <f>('Revenue Model'!W13)*1/12</f>
        <v>45182.074106678025</v>
      </c>
      <c r="X11" s="9">
        <f>('Revenue Model'!X13)*1/12</f>
        <v>45538.263415211324</v>
      </c>
      <c r="Y11" s="9">
        <f>('Revenue Model'!Y13)*1/12</f>
        <v>45894.452723744616</v>
      </c>
    </row>
    <row r="12" spans="1:25" ht="18.5" x14ac:dyDescent="0.45">
      <c r="A12" s="11" t="s">
        <v>68</v>
      </c>
      <c r="B12" s="9">
        <f>SUM(B11:B11)</f>
        <v>38009.716666666667</v>
      </c>
      <c r="C12" s="9">
        <f t="shared" ref="C12:Y12" si="2">SUM(C11:C11)</f>
        <v>38608.762321927206</v>
      </c>
      <c r="D12" s="9">
        <f t="shared" si="2"/>
        <v>38916.380361115051</v>
      </c>
      <c r="E12" s="9">
        <f t="shared" si="2"/>
        <v>39223.998400302902</v>
      </c>
      <c r="F12" s="9">
        <f t="shared" si="2"/>
        <v>39531.616439490746</v>
      </c>
      <c r="G12" s="9">
        <f t="shared" si="2"/>
        <v>39844.631286383643</v>
      </c>
      <c r="H12" s="9">
        <f t="shared" si="2"/>
        <v>40157.646133276539</v>
      </c>
      <c r="I12" s="9">
        <f t="shared" si="2"/>
        <v>40470.660980169436</v>
      </c>
      <c r="J12" s="9">
        <f t="shared" si="2"/>
        <v>40789.072634767377</v>
      </c>
      <c r="K12" s="9">
        <f t="shared" si="2"/>
        <v>41112.881097070371</v>
      </c>
      <c r="L12" s="9">
        <f t="shared" si="2"/>
        <v>41442.086367078424</v>
      </c>
      <c r="M12" s="9">
        <f t="shared" si="2"/>
        <v>41765.894829381417</v>
      </c>
      <c r="N12" s="9">
        <f t="shared" si="2"/>
        <v>42095.100099389463</v>
      </c>
      <c r="O12" s="9">
        <f t="shared" si="2"/>
        <v>42429.702177102554</v>
      </c>
      <c r="P12" s="9">
        <f t="shared" si="2"/>
        <v>42764.304254815652</v>
      </c>
      <c r="Q12" s="9">
        <f t="shared" si="2"/>
        <v>43104.303140233802</v>
      </c>
      <c r="R12" s="9">
        <f t="shared" si="2"/>
        <v>43444.302025651945</v>
      </c>
      <c r="S12" s="9">
        <f t="shared" si="2"/>
        <v>43789.69771877514</v>
      </c>
      <c r="T12" s="9">
        <f t="shared" si="2"/>
        <v>44135.093411898335</v>
      </c>
      <c r="U12" s="9">
        <f t="shared" si="2"/>
        <v>44480.48910502153</v>
      </c>
      <c r="V12" s="9">
        <f t="shared" si="2"/>
        <v>44831.281605849777</v>
      </c>
      <c r="W12" s="9">
        <f t="shared" si="2"/>
        <v>45182.074106678025</v>
      </c>
      <c r="X12" s="9">
        <f t="shared" si="2"/>
        <v>45538.263415211324</v>
      </c>
      <c r="Y12" s="9">
        <f t="shared" si="2"/>
        <v>45894.452723744616</v>
      </c>
    </row>
    <row r="13" spans="1:25" ht="18.5" x14ac:dyDescent="0.45">
      <c r="A13" s="11"/>
    </row>
    <row r="14" spans="1:25" ht="18.5" x14ac:dyDescent="0.45">
      <c r="A14" s="11" t="s">
        <v>69</v>
      </c>
    </row>
    <row r="15" spans="1:25" ht="18.5" x14ac:dyDescent="0.45">
      <c r="A15" s="11" t="s">
        <v>70</v>
      </c>
      <c r="B15" s="9">
        <f>'P&amp;L'!B7</f>
        <v>903110.86799999967</v>
      </c>
      <c r="C15" s="9">
        <f>'P&amp;L'!C7</f>
        <v>917344.19276899053</v>
      </c>
      <c r="D15" s="9">
        <f>'P&amp;L'!D7</f>
        <v>924653.19738009351</v>
      </c>
      <c r="E15" s="9">
        <f>'P&amp;L'!E7</f>
        <v>931962.20199119684</v>
      </c>
      <c r="F15" s="9">
        <f>'P&amp;L'!F7</f>
        <v>939271.20660230017</v>
      </c>
      <c r="G15" s="9">
        <f>'P&amp;L'!G7</f>
        <v>946708.43936447531</v>
      </c>
      <c r="H15" s="9">
        <f>'P&amp;L'!H7</f>
        <v>954145.67212665046</v>
      </c>
      <c r="I15" s="9">
        <f>'P&amp;L'!I7</f>
        <v>961582.90488882561</v>
      </c>
      <c r="J15" s="9">
        <f>'P&amp;L'!J7</f>
        <v>969148.36580207292</v>
      </c>
      <c r="K15" s="9">
        <f>'P&amp;L'!K7</f>
        <v>976842.05486639205</v>
      </c>
      <c r="L15" s="9">
        <f>'P&amp;L'!L7</f>
        <v>984663.97208178299</v>
      </c>
      <c r="M15" s="9">
        <f>'P&amp;L'!M7</f>
        <v>992357.66114610212</v>
      </c>
      <c r="N15" s="9">
        <f>'P&amp;L'!N7</f>
        <v>1000179.5783614934</v>
      </c>
      <c r="O15" s="9">
        <f>'P&amp;L'!O7</f>
        <v>1008129.7237279565</v>
      </c>
      <c r="P15" s="9">
        <f>'P&amp;L'!P7</f>
        <v>1016079.86909442</v>
      </c>
      <c r="Q15" s="9">
        <f>'P&amp;L'!Q7</f>
        <v>1024158.2426119549</v>
      </c>
      <c r="R15" s="9">
        <f>'P&amp;L'!R7</f>
        <v>1032236.6161294898</v>
      </c>
      <c r="S15" s="9">
        <f>'P&amp;L'!S7</f>
        <v>1040443.2177980973</v>
      </c>
      <c r="T15" s="9">
        <f>'P&amp;L'!T7</f>
        <v>1048649.8194667045</v>
      </c>
      <c r="U15" s="9">
        <f>'P&amp;L'!U7</f>
        <v>1056856.4211353115</v>
      </c>
      <c r="V15" s="9">
        <f>'P&amp;L'!V7</f>
        <v>1065191.2509549907</v>
      </c>
      <c r="W15" s="9">
        <f>'P&amp;L'!W7</f>
        <v>1073526.08077467</v>
      </c>
      <c r="X15" s="9">
        <f>'P&amp;L'!X7</f>
        <v>1081989.1387454206</v>
      </c>
      <c r="Y15" s="9">
        <f>'P&amp;L'!Y7</f>
        <v>1090452.1967161717</v>
      </c>
    </row>
    <row r="16" spans="1:25" ht="18.5" x14ac:dyDescent="0.45">
      <c r="A16" s="11" t="s">
        <v>71</v>
      </c>
      <c r="B16" s="9">
        <f>B15</f>
        <v>903110.86799999967</v>
      </c>
      <c r="C16" s="9">
        <f t="shared" ref="C16:Y16" si="3">C15</f>
        <v>917344.19276899053</v>
      </c>
      <c r="D16" s="9">
        <f t="shared" si="3"/>
        <v>924653.19738009351</v>
      </c>
      <c r="E16" s="9">
        <f t="shared" si="3"/>
        <v>931962.20199119684</v>
      </c>
      <c r="F16" s="9">
        <f t="shared" si="3"/>
        <v>939271.20660230017</v>
      </c>
      <c r="G16" s="9">
        <f t="shared" si="3"/>
        <v>946708.43936447531</v>
      </c>
      <c r="H16" s="9">
        <f t="shared" si="3"/>
        <v>954145.67212665046</v>
      </c>
      <c r="I16" s="9">
        <f t="shared" si="3"/>
        <v>961582.90488882561</v>
      </c>
      <c r="J16" s="9">
        <f t="shared" si="3"/>
        <v>969148.36580207292</v>
      </c>
      <c r="K16" s="9">
        <f t="shared" si="3"/>
        <v>976842.05486639205</v>
      </c>
      <c r="L16" s="9">
        <f t="shared" si="3"/>
        <v>984663.97208178299</v>
      </c>
      <c r="M16" s="9">
        <f t="shared" si="3"/>
        <v>992357.66114610212</v>
      </c>
      <c r="N16" s="9">
        <f t="shared" si="3"/>
        <v>1000179.5783614934</v>
      </c>
      <c r="O16" s="9">
        <f t="shared" si="3"/>
        <v>1008129.7237279565</v>
      </c>
      <c r="P16" s="9">
        <f t="shared" si="3"/>
        <v>1016079.86909442</v>
      </c>
      <c r="Q16" s="9">
        <f t="shared" si="3"/>
        <v>1024158.2426119549</v>
      </c>
      <c r="R16" s="9">
        <f t="shared" si="3"/>
        <v>1032236.6161294898</v>
      </c>
      <c r="S16" s="9">
        <f t="shared" si="3"/>
        <v>1040443.2177980973</v>
      </c>
      <c r="T16" s="9">
        <f t="shared" si="3"/>
        <v>1048649.8194667045</v>
      </c>
      <c r="U16" s="9">
        <f t="shared" si="3"/>
        <v>1056856.4211353115</v>
      </c>
      <c r="V16" s="9">
        <f t="shared" si="3"/>
        <v>1065191.2509549907</v>
      </c>
      <c r="W16" s="9">
        <f t="shared" si="3"/>
        <v>1073526.08077467</v>
      </c>
      <c r="X16" s="9">
        <f t="shared" si="3"/>
        <v>1081989.1387454206</v>
      </c>
      <c r="Y16" s="9">
        <f t="shared" si="3"/>
        <v>1090452.1967161717</v>
      </c>
    </row>
    <row r="17" spans="1:25" ht="19" thickBot="1" x14ac:dyDescent="0.5">
      <c r="A17" s="11"/>
    </row>
    <row r="18" spans="1:25" s="12" customFormat="1" ht="19" thickBot="1" x14ac:dyDescent="0.5">
      <c r="A18" s="26" t="s">
        <v>72</v>
      </c>
      <c r="B18" s="33">
        <f>B16+B12</f>
        <v>941120.58466666634</v>
      </c>
      <c r="C18" s="33">
        <f t="shared" ref="C18:Y18" si="4">C16+C12</f>
        <v>955952.95509091776</v>
      </c>
      <c r="D18" s="33">
        <f t="shared" si="4"/>
        <v>963569.5777412086</v>
      </c>
      <c r="E18" s="33">
        <f t="shared" si="4"/>
        <v>971186.20039149979</v>
      </c>
      <c r="F18" s="33">
        <f t="shared" si="4"/>
        <v>978802.82304179086</v>
      </c>
      <c r="G18" s="33">
        <f t="shared" si="4"/>
        <v>986553.07065085892</v>
      </c>
      <c r="H18" s="33">
        <f t="shared" si="4"/>
        <v>994303.31825992698</v>
      </c>
      <c r="I18" s="33">
        <f t="shared" si="4"/>
        <v>1002053.565868995</v>
      </c>
      <c r="J18" s="33">
        <f t="shared" si="4"/>
        <v>1009937.4384368403</v>
      </c>
      <c r="K18" s="33">
        <f t="shared" si="4"/>
        <v>1017954.9359634625</v>
      </c>
      <c r="L18" s="33">
        <f t="shared" si="4"/>
        <v>1026106.0584488615</v>
      </c>
      <c r="M18" s="33">
        <f t="shared" si="4"/>
        <v>1034123.5559754835</v>
      </c>
      <c r="N18" s="33">
        <f t="shared" si="4"/>
        <v>1042274.6784608829</v>
      </c>
      <c r="O18" s="33">
        <f t="shared" si="4"/>
        <v>1050559.4259050591</v>
      </c>
      <c r="P18" s="33">
        <f t="shared" si="4"/>
        <v>1058844.1733492357</v>
      </c>
      <c r="Q18" s="33">
        <f t="shared" si="4"/>
        <v>1067262.5457521887</v>
      </c>
      <c r="R18" s="33">
        <f t="shared" si="4"/>
        <v>1075680.9181551419</v>
      </c>
      <c r="S18" s="33">
        <f t="shared" si="4"/>
        <v>1084232.9155168724</v>
      </c>
      <c r="T18" s="33">
        <f t="shared" si="4"/>
        <v>1092784.9128786027</v>
      </c>
      <c r="U18" s="33">
        <f t="shared" si="4"/>
        <v>1101336.9102403331</v>
      </c>
      <c r="V18" s="33">
        <f t="shared" si="4"/>
        <v>1110022.5325608405</v>
      </c>
      <c r="W18" s="33">
        <f t="shared" si="4"/>
        <v>1118708.1548813481</v>
      </c>
      <c r="X18" s="33">
        <f t="shared" si="4"/>
        <v>1127527.402160632</v>
      </c>
      <c r="Y18" s="33">
        <f t="shared" si="4"/>
        <v>1136346.6494399162</v>
      </c>
    </row>
    <row r="19" spans="1:25" x14ac:dyDescent="0.35">
      <c r="B1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E7718-DC04-4F25-838F-8C52D71F9F4C}">
  <sheetPr codeName="Sheet4">
    <tabColor theme="0" tint="-0.34998626667073579"/>
  </sheetPr>
  <dimension ref="A1:Y20"/>
  <sheetViews>
    <sheetView topLeftCell="O5" workbookViewId="0">
      <selection sqref="A1:XFD1048576"/>
    </sheetView>
  </sheetViews>
  <sheetFormatPr defaultRowHeight="14.5" x14ac:dyDescent="0.35"/>
  <cols>
    <col min="1" max="1" width="31.26953125" bestFit="1" customWidth="1"/>
    <col min="2" max="7" width="13.6328125" bestFit="1" customWidth="1"/>
    <col min="8" max="25" width="14.6328125" bestFit="1" customWidth="1"/>
  </cols>
  <sheetData>
    <row r="1" spans="1:25" ht="22" thickTop="1" thickBot="1" x14ac:dyDescent="0.55000000000000004">
      <c r="A1" s="30" t="s">
        <v>73</v>
      </c>
      <c r="B1" s="31" t="s">
        <v>16</v>
      </c>
      <c r="C1" s="32" t="s">
        <v>17</v>
      </c>
      <c r="D1" s="29" t="s">
        <v>18</v>
      </c>
      <c r="E1" s="23" t="s">
        <v>19</v>
      </c>
      <c r="F1" s="23" t="s">
        <v>20</v>
      </c>
      <c r="G1" s="23" t="s">
        <v>21</v>
      </c>
      <c r="H1" s="23" t="s">
        <v>22</v>
      </c>
      <c r="I1" s="23" t="s">
        <v>23</v>
      </c>
      <c r="J1" s="23" t="s">
        <v>24</v>
      </c>
      <c r="K1" s="23" t="s">
        <v>25</v>
      </c>
      <c r="L1" s="23" t="s">
        <v>26</v>
      </c>
      <c r="M1" s="23" t="s">
        <v>27</v>
      </c>
      <c r="N1" s="23" t="s">
        <v>28</v>
      </c>
      <c r="O1" s="23" t="s">
        <v>29</v>
      </c>
      <c r="P1" s="23" t="s">
        <v>30</v>
      </c>
      <c r="Q1" s="23" t="s">
        <v>31</v>
      </c>
      <c r="R1" s="23" t="s">
        <v>32</v>
      </c>
      <c r="S1" s="23" t="s">
        <v>33</v>
      </c>
      <c r="T1" s="23" t="s">
        <v>34</v>
      </c>
      <c r="U1" s="23" t="s">
        <v>35</v>
      </c>
      <c r="V1" s="23" t="s">
        <v>36</v>
      </c>
      <c r="W1" s="23" t="s">
        <v>37</v>
      </c>
      <c r="X1" s="23" t="s">
        <v>38</v>
      </c>
      <c r="Y1" s="23" t="s">
        <v>39</v>
      </c>
    </row>
    <row r="3" spans="1:25" ht="18.5" x14ac:dyDescent="0.45">
      <c r="A3" s="11" t="s">
        <v>74</v>
      </c>
      <c r="B3" s="9"/>
    </row>
    <row r="4" spans="1:25" x14ac:dyDescent="0.35">
      <c r="A4" t="s">
        <v>75</v>
      </c>
      <c r="B4" s="9">
        <f>'P&amp;L'!B7</f>
        <v>903110.86799999967</v>
      </c>
      <c r="C4" s="9">
        <f>'P&amp;L'!C7</f>
        <v>917344.19276899053</v>
      </c>
      <c r="D4" s="9">
        <f>'P&amp;L'!D7</f>
        <v>924653.19738009351</v>
      </c>
      <c r="E4" s="9">
        <f>'P&amp;L'!E7</f>
        <v>931962.20199119684</v>
      </c>
      <c r="F4" s="9">
        <f>'P&amp;L'!F7</f>
        <v>939271.20660230017</v>
      </c>
      <c r="G4" s="9">
        <f>'P&amp;L'!G7</f>
        <v>946708.43936447531</v>
      </c>
      <c r="H4" s="9">
        <f>'P&amp;L'!H7</f>
        <v>954145.67212665046</v>
      </c>
      <c r="I4" s="9">
        <f>'P&amp;L'!I7</f>
        <v>961582.90488882561</v>
      </c>
      <c r="J4" s="9">
        <f>'P&amp;L'!J7</f>
        <v>969148.36580207292</v>
      </c>
      <c r="K4" s="9">
        <f>'P&amp;L'!K7</f>
        <v>976842.05486639205</v>
      </c>
      <c r="L4" s="9">
        <f>'P&amp;L'!L7</f>
        <v>984663.97208178299</v>
      </c>
      <c r="M4" s="9">
        <f>'P&amp;L'!M7</f>
        <v>992357.66114610212</v>
      </c>
      <c r="N4" s="9">
        <f>'P&amp;L'!N7</f>
        <v>1000179.5783614934</v>
      </c>
      <c r="O4" s="9">
        <f>'P&amp;L'!O7</f>
        <v>1008129.7237279565</v>
      </c>
      <c r="P4" s="9">
        <f>'P&amp;L'!P7</f>
        <v>1016079.86909442</v>
      </c>
      <c r="Q4" s="9">
        <f>'P&amp;L'!Q7</f>
        <v>1024158.2426119549</v>
      </c>
      <c r="R4" s="9">
        <f>'P&amp;L'!R7</f>
        <v>1032236.6161294898</v>
      </c>
      <c r="S4" s="9">
        <f>'P&amp;L'!S7</f>
        <v>1040443.2177980973</v>
      </c>
      <c r="T4" s="9">
        <f>'P&amp;L'!T7</f>
        <v>1048649.8194667045</v>
      </c>
      <c r="U4" s="9">
        <f>'P&amp;L'!U7</f>
        <v>1056856.4211353115</v>
      </c>
      <c r="V4" s="9">
        <f>'P&amp;L'!V7</f>
        <v>1065191.2509549907</v>
      </c>
      <c r="W4" s="9">
        <f>'P&amp;L'!W7</f>
        <v>1073526.08077467</v>
      </c>
      <c r="X4" s="9">
        <f>'P&amp;L'!X7</f>
        <v>1081989.1387454206</v>
      </c>
      <c r="Y4" s="9">
        <f>'P&amp;L'!Y7</f>
        <v>1090452.1967161717</v>
      </c>
    </row>
    <row r="5" spans="1:25" x14ac:dyDescent="0.35">
      <c r="A5" t="s">
        <v>76</v>
      </c>
      <c r="B5" s="9">
        <f>'Revenue Model'!B14*0.02</f>
        <v>109467.98399999998</v>
      </c>
      <c r="C5" s="9">
        <f>'Revenue Model'!C14*0.02</f>
        <v>111193.23548715036</v>
      </c>
      <c r="D5" s="9">
        <f>'Revenue Model'!D14*0.02</f>
        <v>112079.17544001134</v>
      </c>
      <c r="E5" s="9">
        <f>'Revenue Model'!E14*0.02</f>
        <v>112965.11539287237</v>
      </c>
      <c r="F5" s="9">
        <f>'Revenue Model'!F14*0.02</f>
        <v>113851.05534573336</v>
      </c>
      <c r="G5" s="9">
        <f>'Revenue Model'!G14*0.02</f>
        <v>114752.53810478488</v>
      </c>
      <c r="H5" s="9">
        <f>'Revenue Model'!H14*0.02</f>
        <v>115654.02086383643</v>
      </c>
      <c r="I5" s="9">
        <f>'Revenue Model'!I14*0.02</f>
        <v>116555.50362288798</v>
      </c>
      <c r="J5" s="9">
        <f>'Revenue Model'!J14*0.02</f>
        <v>117472.52918813005</v>
      </c>
      <c r="K5" s="9">
        <f>'Revenue Model'!K14*0.02</f>
        <v>118405.09755956268</v>
      </c>
      <c r="L5" s="9">
        <f>'Revenue Model'!L14*0.02</f>
        <v>119353.20873718587</v>
      </c>
      <c r="M5" s="9">
        <f>'Revenue Model'!M14*0.02</f>
        <v>120285.77710861849</v>
      </c>
      <c r="N5" s="9">
        <f>'Revenue Model'!N14*0.02</f>
        <v>121233.88828624165</v>
      </c>
      <c r="O5" s="9">
        <f>'Revenue Model'!O14*0.02</f>
        <v>122197.54227005536</v>
      </c>
      <c r="P5" s="9">
        <f>'Revenue Model'!P14*0.02</f>
        <v>123161.19625386909</v>
      </c>
      <c r="Q5" s="9">
        <f>'Revenue Model'!Q14*0.02</f>
        <v>124140.39304387335</v>
      </c>
      <c r="R5" s="9">
        <f>'Revenue Model'!R14*0.02</f>
        <v>125119.58983387762</v>
      </c>
      <c r="S5" s="9">
        <f>'Revenue Model'!S14*0.02</f>
        <v>126114.32943007242</v>
      </c>
      <c r="T5" s="9">
        <f>'Revenue Model'!T14*0.02</f>
        <v>127109.06902626721</v>
      </c>
      <c r="U5" s="9">
        <f>'Revenue Model'!U14*0.02</f>
        <v>128103.80862246201</v>
      </c>
      <c r="V5" s="9">
        <f>'Revenue Model'!V14*0.02</f>
        <v>129114.09102484737</v>
      </c>
      <c r="W5" s="9">
        <f>'Revenue Model'!W14*0.02</f>
        <v>130124.37342723273</v>
      </c>
      <c r="X5" s="9">
        <f>'Revenue Model'!X14*0.02</f>
        <v>131150.19863580863</v>
      </c>
      <c r="Y5" s="9">
        <f>'Revenue Model'!Y14*0.02</f>
        <v>132176.0238443845</v>
      </c>
    </row>
    <row r="6" spans="1:25" x14ac:dyDescent="0.35">
      <c r="A6" t="s">
        <v>77</v>
      </c>
      <c r="B6" s="9">
        <f>-('Balance Sheet'!B5-0)</f>
        <v>-38009.716666666667</v>
      </c>
      <c r="C6" s="9">
        <f>-('Balance Sheet'!C5-0)</f>
        <v>-38608.762321927206</v>
      </c>
      <c r="D6" s="9">
        <f>-('Balance Sheet'!D5-0)</f>
        <v>-38916.380361115051</v>
      </c>
      <c r="E6" s="9">
        <f>-('Balance Sheet'!E5-0)</f>
        <v>-39223.998400302902</v>
      </c>
      <c r="F6" s="9">
        <f>-('Balance Sheet'!F5-0)</f>
        <v>-39531.616439490746</v>
      </c>
      <c r="G6" s="9">
        <f>-('Balance Sheet'!G5-0)</f>
        <v>-39844.631286383643</v>
      </c>
      <c r="H6" s="9">
        <f>-('Balance Sheet'!H5-0)</f>
        <v>-40157.646133276539</v>
      </c>
      <c r="I6" s="9">
        <f>-('Balance Sheet'!I5-0)</f>
        <v>-40470.660980169436</v>
      </c>
      <c r="J6" s="9">
        <f>-('Balance Sheet'!J5-0)</f>
        <v>-40789.072634767377</v>
      </c>
      <c r="K6" s="9">
        <f>-('Balance Sheet'!K5-0)</f>
        <v>-41112.881097070371</v>
      </c>
      <c r="L6" s="9">
        <f>-('Balance Sheet'!L5-0)</f>
        <v>-41442.086367078424</v>
      </c>
      <c r="M6" s="9">
        <f>-('Balance Sheet'!M5-0)</f>
        <v>-41765.894829381417</v>
      </c>
      <c r="N6" s="9">
        <f>-('Balance Sheet'!N5-0)</f>
        <v>-42095.100099389463</v>
      </c>
      <c r="O6" s="9">
        <f>-('Balance Sheet'!O5-0)</f>
        <v>-42429.702177102554</v>
      </c>
      <c r="P6" s="9">
        <f>-('Balance Sheet'!P5-0)</f>
        <v>-42764.304254815652</v>
      </c>
      <c r="Q6" s="9">
        <f>-('Balance Sheet'!Q5-0)</f>
        <v>-43104.303140233802</v>
      </c>
      <c r="R6" s="9">
        <f>-('Balance Sheet'!R5-0)</f>
        <v>-43444.302025651945</v>
      </c>
      <c r="S6" s="9">
        <f>-('Balance Sheet'!S5-0)</f>
        <v>-43789.69771877514</v>
      </c>
      <c r="T6" s="9">
        <f>-('Balance Sheet'!T5-0)</f>
        <v>-44135.093411898335</v>
      </c>
      <c r="U6" s="9">
        <f>-('Balance Sheet'!U5-0)</f>
        <v>-44480.48910502153</v>
      </c>
      <c r="V6" s="9">
        <f>-('Balance Sheet'!V5-0)</f>
        <v>-44831.281605849777</v>
      </c>
      <c r="W6" s="9">
        <f>-('Balance Sheet'!W5-0)</f>
        <v>-45182.074106678025</v>
      </c>
      <c r="X6" s="9">
        <f>-('Balance Sheet'!X5-0)</f>
        <v>-45538.263415211324</v>
      </c>
      <c r="Y6" s="9">
        <f>-('Balance Sheet'!Y5-0)</f>
        <v>-45894.452723744616</v>
      </c>
    </row>
    <row r="7" spans="1:25" x14ac:dyDescent="0.35">
      <c r="A7" t="s">
        <v>78</v>
      </c>
      <c r="B7" s="9">
        <f>'Balance Sheet'!B11</f>
        <v>38009.716666666667</v>
      </c>
      <c r="C7" s="9">
        <f>'Balance Sheet'!C11</f>
        <v>38608.762321927206</v>
      </c>
      <c r="D7" s="9">
        <f>'Balance Sheet'!D11</f>
        <v>38916.380361115051</v>
      </c>
      <c r="E7" s="9">
        <f>'Balance Sheet'!E11</f>
        <v>39223.998400302902</v>
      </c>
      <c r="F7" s="9">
        <f>'Balance Sheet'!F11</f>
        <v>39531.616439490746</v>
      </c>
      <c r="G7" s="9">
        <f>'Balance Sheet'!G11</f>
        <v>39844.631286383643</v>
      </c>
      <c r="H7" s="9">
        <f>'Balance Sheet'!H11</f>
        <v>40157.646133276539</v>
      </c>
      <c r="I7" s="9">
        <f>'Balance Sheet'!I11</f>
        <v>40470.660980169436</v>
      </c>
      <c r="J7" s="9">
        <f>'Balance Sheet'!J11</f>
        <v>40789.072634767377</v>
      </c>
      <c r="K7" s="9">
        <f>'Balance Sheet'!K11</f>
        <v>41112.881097070371</v>
      </c>
      <c r="L7" s="9">
        <f>'Balance Sheet'!L11</f>
        <v>41442.086367078424</v>
      </c>
      <c r="M7" s="9">
        <f>'Balance Sheet'!M11</f>
        <v>41765.894829381417</v>
      </c>
      <c r="N7" s="9">
        <f>'Balance Sheet'!N11</f>
        <v>42095.100099389463</v>
      </c>
      <c r="O7" s="9">
        <f>'Balance Sheet'!O11</f>
        <v>42429.702177102554</v>
      </c>
      <c r="P7" s="9">
        <f>'Balance Sheet'!P11</f>
        <v>42764.304254815652</v>
      </c>
      <c r="Q7" s="9">
        <f>'Balance Sheet'!Q11</f>
        <v>43104.303140233802</v>
      </c>
      <c r="R7" s="9">
        <f>'Balance Sheet'!R11</f>
        <v>43444.302025651945</v>
      </c>
      <c r="S7" s="9">
        <f>'Balance Sheet'!S11</f>
        <v>43789.69771877514</v>
      </c>
      <c r="T7" s="9">
        <f>'Balance Sheet'!T11</f>
        <v>44135.093411898335</v>
      </c>
      <c r="U7" s="9">
        <f>'Balance Sheet'!U11</f>
        <v>44480.48910502153</v>
      </c>
      <c r="V7" s="9">
        <f>'Balance Sheet'!V11</f>
        <v>44831.281605849777</v>
      </c>
      <c r="W7" s="9">
        <f>'Balance Sheet'!W11</f>
        <v>45182.074106678025</v>
      </c>
      <c r="X7" s="9">
        <f>'Balance Sheet'!X11</f>
        <v>45538.263415211324</v>
      </c>
      <c r="Y7" s="9">
        <f>'Balance Sheet'!Y11</f>
        <v>45894.452723744616</v>
      </c>
    </row>
    <row r="8" spans="1:25" x14ac:dyDescent="0.35">
      <c r="A8" t="s">
        <v>79</v>
      </c>
      <c r="B8" s="9">
        <f>SUM(B4:B7)</f>
        <v>1012578.8519999996</v>
      </c>
      <c r="C8" s="9">
        <f>SUM(C4:C7)</f>
        <v>1028537.4282561409</v>
      </c>
      <c r="D8" s="9">
        <f t="shared" ref="D8:Y8" si="0">SUM(D4:D7)</f>
        <v>1036732.3728201048</v>
      </c>
      <c r="E8" s="9">
        <f t="shared" si="0"/>
        <v>1044927.3173840692</v>
      </c>
      <c r="F8" s="9">
        <f t="shared" si="0"/>
        <v>1053122.2619480335</v>
      </c>
      <c r="G8" s="9">
        <f t="shared" si="0"/>
        <v>1061460.9774692601</v>
      </c>
      <c r="H8" s="9">
        <f t="shared" si="0"/>
        <v>1069799.692990487</v>
      </c>
      <c r="I8" s="9">
        <f t="shared" si="0"/>
        <v>1078138.4085117136</v>
      </c>
      <c r="J8" s="9">
        <f t="shared" si="0"/>
        <v>1086620.894990203</v>
      </c>
      <c r="K8" s="9">
        <f t="shared" si="0"/>
        <v>1095247.1524259548</v>
      </c>
      <c r="L8" s="9">
        <f t="shared" si="0"/>
        <v>1104017.1808189689</v>
      </c>
      <c r="M8" s="9">
        <f>SUM(M4:M7)</f>
        <v>1112643.4382547205</v>
      </c>
      <c r="N8" s="9">
        <f t="shared" si="0"/>
        <v>1121413.4666477351</v>
      </c>
      <c r="O8" s="9">
        <f t="shared" si="0"/>
        <v>1130327.2659980119</v>
      </c>
      <c r="P8" s="9">
        <f t="shared" si="0"/>
        <v>1139241.065348289</v>
      </c>
      <c r="Q8" s="9">
        <f t="shared" si="0"/>
        <v>1148298.6356558283</v>
      </c>
      <c r="R8" s="9">
        <f t="shared" si="0"/>
        <v>1157356.2059633674</v>
      </c>
      <c r="S8" s="9">
        <f t="shared" si="0"/>
        <v>1166557.5472281696</v>
      </c>
      <c r="T8" s="9">
        <f t="shared" si="0"/>
        <v>1175758.8884929717</v>
      </c>
      <c r="U8" s="9">
        <f t="shared" si="0"/>
        <v>1184960.2297577735</v>
      </c>
      <c r="V8" s="9">
        <f t="shared" si="0"/>
        <v>1194305.3419798382</v>
      </c>
      <c r="W8" s="9">
        <f t="shared" si="0"/>
        <v>1203650.4542019027</v>
      </c>
      <c r="X8" s="9">
        <f t="shared" si="0"/>
        <v>1213139.3373812293</v>
      </c>
      <c r="Y8" s="9">
        <f t="shared" si="0"/>
        <v>1222628.2205605563</v>
      </c>
    </row>
    <row r="9" spans="1:25" ht="18.5" x14ac:dyDescent="0.45">
      <c r="A9" s="11"/>
      <c r="M9" s="9"/>
    </row>
    <row r="10" spans="1:25" ht="18.5" x14ac:dyDescent="0.45">
      <c r="A10" s="11" t="s">
        <v>80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x14ac:dyDescent="0.35">
      <c r="A11" t="s">
        <v>81</v>
      </c>
      <c r="B11" s="9">
        <f>'Revenue Model'!B14*0.05</f>
        <v>273669.95999999996</v>
      </c>
      <c r="C11" s="9">
        <f>'Revenue Model'!C14*0.05</f>
        <v>277983.08871787594</v>
      </c>
      <c r="D11" s="9">
        <f>'Revenue Model'!D14*0.05</f>
        <v>280197.93860002834</v>
      </c>
      <c r="E11" s="9">
        <f>'Revenue Model'!E14*0.05</f>
        <v>282412.78848218091</v>
      </c>
      <c r="F11" s="9">
        <f>'Revenue Model'!F14*0.05</f>
        <v>284627.63836433337</v>
      </c>
      <c r="G11" s="9">
        <f>'Revenue Model'!G14*0.05</f>
        <v>286881.34526196221</v>
      </c>
      <c r="H11" s="9">
        <f>'Revenue Model'!H14*0.05</f>
        <v>289135.05215959105</v>
      </c>
      <c r="I11" s="9">
        <f>'Revenue Model'!I14*0.05</f>
        <v>291388.75905721996</v>
      </c>
      <c r="J11" s="9">
        <f>'Revenue Model'!J14*0.05</f>
        <v>293681.32297032513</v>
      </c>
      <c r="K11" s="9">
        <f>'Revenue Model'!K14*0.05</f>
        <v>296012.74389890669</v>
      </c>
      <c r="L11" s="9">
        <f>'Revenue Model'!L14*0.05</f>
        <v>298383.02184296463</v>
      </c>
      <c r="M11" s="9">
        <f>'Revenue Model'!M14*0.05</f>
        <v>300714.44277154625</v>
      </c>
      <c r="N11" s="9">
        <f>'Revenue Model'!N14*0.05</f>
        <v>303084.72071560414</v>
      </c>
      <c r="O11" s="9">
        <f>'Revenue Model'!O14*0.05</f>
        <v>305493.85567513842</v>
      </c>
      <c r="P11" s="9">
        <f>'Revenue Model'!P14*0.05</f>
        <v>307902.99063467275</v>
      </c>
      <c r="Q11" s="9">
        <f>'Revenue Model'!Q14*0.05</f>
        <v>310350.98260968336</v>
      </c>
      <c r="R11" s="9">
        <f>'Revenue Model'!R14*0.05</f>
        <v>312798.97458469402</v>
      </c>
      <c r="S11" s="9">
        <f>'Revenue Model'!S14*0.05</f>
        <v>315285.82357518107</v>
      </c>
      <c r="T11" s="9">
        <f>'Revenue Model'!T14*0.05</f>
        <v>317772.67256566806</v>
      </c>
      <c r="U11" s="9">
        <f>'Revenue Model'!U14*0.05</f>
        <v>320259.52155615506</v>
      </c>
      <c r="V11" s="9">
        <f>'Revenue Model'!V14*0.05</f>
        <v>322785.22756211844</v>
      </c>
      <c r="W11" s="9">
        <f>'Revenue Model'!W14*0.05</f>
        <v>325310.93356808182</v>
      </c>
      <c r="X11" s="9">
        <f>'Revenue Model'!X14*0.05</f>
        <v>327875.49658952159</v>
      </c>
      <c r="Y11" s="9">
        <f>'Revenue Model'!Y14*0.05</f>
        <v>330440.05961096124</v>
      </c>
    </row>
    <row r="12" spans="1:25" x14ac:dyDescent="0.35">
      <c r="A12" t="s">
        <v>82</v>
      </c>
      <c r="B12" s="9">
        <f>B11</f>
        <v>273669.95999999996</v>
      </c>
      <c r="C12" s="9">
        <f>C11</f>
        <v>277983.08871787594</v>
      </c>
      <c r="D12" s="9">
        <f t="shared" ref="D12:Y12" si="1">D11</f>
        <v>280197.93860002834</v>
      </c>
      <c r="E12" s="9">
        <f t="shared" si="1"/>
        <v>282412.78848218091</v>
      </c>
      <c r="F12" s="9">
        <f t="shared" si="1"/>
        <v>284627.63836433337</v>
      </c>
      <c r="G12" s="9">
        <f t="shared" si="1"/>
        <v>286881.34526196221</v>
      </c>
      <c r="H12" s="9">
        <f t="shared" si="1"/>
        <v>289135.05215959105</v>
      </c>
      <c r="I12" s="9">
        <f t="shared" si="1"/>
        <v>291388.75905721996</v>
      </c>
      <c r="J12" s="9">
        <f t="shared" si="1"/>
        <v>293681.32297032513</v>
      </c>
      <c r="K12" s="9">
        <f t="shared" si="1"/>
        <v>296012.74389890669</v>
      </c>
      <c r="L12" s="9">
        <f t="shared" si="1"/>
        <v>298383.02184296463</v>
      </c>
      <c r="M12" s="9">
        <f t="shared" si="1"/>
        <v>300714.44277154625</v>
      </c>
      <c r="N12" s="9">
        <f t="shared" si="1"/>
        <v>303084.72071560414</v>
      </c>
      <c r="O12" s="9">
        <f t="shared" si="1"/>
        <v>305493.85567513842</v>
      </c>
      <c r="P12" s="9">
        <f t="shared" si="1"/>
        <v>307902.99063467275</v>
      </c>
      <c r="Q12" s="9">
        <f t="shared" si="1"/>
        <v>310350.98260968336</v>
      </c>
      <c r="R12" s="9">
        <f t="shared" si="1"/>
        <v>312798.97458469402</v>
      </c>
      <c r="S12" s="9">
        <f t="shared" si="1"/>
        <v>315285.82357518107</v>
      </c>
      <c r="T12" s="9">
        <f t="shared" si="1"/>
        <v>317772.67256566806</v>
      </c>
      <c r="U12" s="9">
        <f t="shared" si="1"/>
        <v>320259.52155615506</v>
      </c>
      <c r="V12" s="9">
        <f t="shared" si="1"/>
        <v>322785.22756211844</v>
      </c>
      <c r="W12" s="9">
        <f t="shared" si="1"/>
        <v>325310.93356808182</v>
      </c>
      <c r="X12" s="9">
        <f t="shared" si="1"/>
        <v>327875.49658952159</v>
      </c>
      <c r="Y12" s="9">
        <f t="shared" si="1"/>
        <v>330440.05961096124</v>
      </c>
    </row>
    <row r="13" spans="1:25" ht="18.5" x14ac:dyDescent="0.45">
      <c r="A13" s="11"/>
    </row>
    <row r="14" spans="1:25" ht="18.5" x14ac:dyDescent="0.45">
      <c r="A14" s="11" t="s">
        <v>83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x14ac:dyDescent="0.35">
      <c r="A15" t="s">
        <v>84</v>
      </c>
      <c r="B15" s="9">
        <f>0</f>
        <v>0</v>
      </c>
      <c r="C15" s="9">
        <f>0</f>
        <v>0</v>
      </c>
      <c r="D15" s="9">
        <f>0</f>
        <v>0</v>
      </c>
      <c r="E15" s="9">
        <f>0</f>
        <v>0</v>
      </c>
      <c r="F15" s="9">
        <f>0</f>
        <v>0</v>
      </c>
      <c r="G15" s="9">
        <f>0</f>
        <v>0</v>
      </c>
      <c r="H15" s="9">
        <f>0</f>
        <v>0</v>
      </c>
      <c r="I15" s="9">
        <f>0</f>
        <v>0</v>
      </c>
      <c r="J15" s="9">
        <f>0</f>
        <v>0</v>
      </c>
      <c r="K15" s="9">
        <f>0</f>
        <v>0</v>
      </c>
      <c r="L15" s="9">
        <f>0</f>
        <v>0</v>
      </c>
      <c r="M15" s="9">
        <f>0</f>
        <v>0</v>
      </c>
      <c r="N15" s="9">
        <f>0</f>
        <v>0</v>
      </c>
      <c r="O15" s="9">
        <f>0</f>
        <v>0</v>
      </c>
      <c r="P15" s="9">
        <f>0</f>
        <v>0</v>
      </c>
      <c r="Q15" s="9">
        <f>0</f>
        <v>0</v>
      </c>
      <c r="R15" s="9">
        <f>0</f>
        <v>0</v>
      </c>
      <c r="S15" s="9">
        <f>0</f>
        <v>0</v>
      </c>
      <c r="T15" s="9">
        <f>0</f>
        <v>0</v>
      </c>
      <c r="U15" s="9">
        <f>0</f>
        <v>0</v>
      </c>
      <c r="V15" s="9">
        <f>0</f>
        <v>0</v>
      </c>
      <c r="W15" s="9">
        <f>0</f>
        <v>0</v>
      </c>
      <c r="X15" s="9">
        <f>0</f>
        <v>0</v>
      </c>
      <c r="Y15" s="9">
        <f>0</f>
        <v>0</v>
      </c>
    </row>
    <row r="16" spans="1:25" x14ac:dyDescent="0.35">
      <c r="A16" t="s">
        <v>85</v>
      </c>
      <c r="B16" s="9">
        <f>0</f>
        <v>0</v>
      </c>
      <c r="C16" s="9">
        <f>0</f>
        <v>0</v>
      </c>
      <c r="D16" s="9">
        <f>0</f>
        <v>0</v>
      </c>
      <c r="E16" s="9">
        <f>0</f>
        <v>0</v>
      </c>
      <c r="F16" s="9">
        <f>0</f>
        <v>0</v>
      </c>
      <c r="G16" s="9">
        <f>0</f>
        <v>0</v>
      </c>
      <c r="H16" s="9">
        <f>0</f>
        <v>0</v>
      </c>
      <c r="I16" s="9">
        <f>0</f>
        <v>0</v>
      </c>
      <c r="J16" s="9">
        <f>0</f>
        <v>0</v>
      </c>
      <c r="K16" s="9">
        <f>0</f>
        <v>0</v>
      </c>
      <c r="L16" s="9">
        <f>0</f>
        <v>0</v>
      </c>
      <c r="M16" s="9">
        <f>0</f>
        <v>0</v>
      </c>
      <c r="N16" s="9">
        <f>0</f>
        <v>0</v>
      </c>
      <c r="O16" s="9">
        <f>0</f>
        <v>0</v>
      </c>
      <c r="P16" s="9">
        <f>0</f>
        <v>0</v>
      </c>
      <c r="Q16" s="9">
        <f>0</f>
        <v>0</v>
      </c>
      <c r="R16" s="9">
        <f>0</f>
        <v>0</v>
      </c>
      <c r="S16" s="9">
        <f>0</f>
        <v>0</v>
      </c>
      <c r="T16" s="9">
        <f>0</f>
        <v>0</v>
      </c>
      <c r="U16" s="9">
        <f>0</f>
        <v>0</v>
      </c>
      <c r="V16" s="9">
        <f>0</f>
        <v>0</v>
      </c>
      <c r="W16" s="9">
        <f>0</f>
        <v>0</v>
      </c>
      <c r="X16" s="9">
        <f>0</f>
        <v>0</v>
      </c>
      <c r="Y16" s="9">
        <f>0</f>
        <v>0</v>
      </c>
    </row>
    <row r="18" spans="1:25" x14ac:dyDescent="0.35">
      <c r="A18" t="s">
        <v>86</v>
      </c>
      <c r="B18" s="9">
        <f>B16+B12+B8</f>
        <v>1286248.8119999995</v>
      </c>
      <c r="C18" s="9">
        <f>C16+C12+C8</f>
        <v>1306520.5169740168</v>
      </c>
      <c r="D18" s="9">
        <f t="shared" ref="D18:Y18" si="2">D16+D12+D8</f>
        <v>1316930.3114201331</v>
      </c>
      <c r="E18" s="9">
        <f t="shared" si="2"/>
        <v>1327340.1058662501</v>
      </c>
      <c r="F18" s="9">
        <f t="shared" si="2"/>
        <v>1337749.9003123669</v>
      </c>
      <c r="G18" s="9">
        <f t="shared" si="2"/>
        <v>1348342.3227312223</v>
      </c>
      <c r="H18" s="9">
        <f t="shared" si="2"/>
        <v>1358934.7451500781</v>
      </c>
      <c r="I18" s="9">
        <f t="shared" si="2"/>
        <v>1369527.1675689337</v>
      </c>
      <c r="J18" s="9">
        <f t="shared" si="2"/>
        <v>1380302.2179605281</v>
      </c>
      <c r="K18" s="9">
        <f t="shared" si="2"/>
        <v>1391259.8963248616</v>
      </c>
      <c r="L18" s="9">
        <f t="shared" si="2"/>
        <v>1402400.2026619336</v>
      </c>
      <c r="M18" s="9">
        <f>M16+M12+M8</f>
        <v>1413357.8810262668</v>
      </c>
      <c r="N18" s="9">
        <f t="shared" si="2"/>
        <v>1424498.1873633391</v>
      </c>
      <c r="O18" s="9">
        <f t="shared" si="2"/>
        <v>1435821.1216731505</v>
      </c>
      <c r="P18" s="9">
        <f t="shared" si="2"/>
        <v>1447144.0559829618</v>
      </c>
      <c r="Q18" s="9">
        <f t="shared" si="2"/>
        <v>1458649.6182655117</v>
      </c>
      <c r="R18" s="9">
        <f t="shared" si="2"/>
        <v>1470155.1805480614</v>
      </c>
      <c r="S18" s="9">
        <f t="shared" si="2"/>
        <v>1481843.3708033506</v>
      </c>
      <c r="T18" s="9">
        <f t="shared" si="2"/>
        <v>1493531.5610586398</v>
      </c>
      <c r="U18" s="9">
        <f t="shared" si="2"/>
        <v>1505219.7513139285</v>
      </c>
      <c r="V18" s="9">
        <f t="shared" si="2"/>
        <v>1517090.5695419568</v>
      </c>
      <c r="W18" s="9">
        <f t="shared" si="2"/>
        <v>1528961.3877699845</v>
      </c>
      <c r="X18" s="9">
        <f t="shared" si="2"/>
        <v>1541014.8339707509</v>
      </c>
      <c r="Y18" s="9">
        <f t="shared" si="2"/>
        <v>1553068.2801715175</v>
      </c>
    </row>
    <row r="19" spans="1:25" x14ac:dyDescent="0.35">
      <c r="A19" t="s">
        <v>87</v>
      </c>
      <c r="B19" s="9">
        <f>0</f>
        <v>0</v>
      </c>
      <c r="C19" s="9">
        <f>B20</f>
        <v>1286248.8119999995</v>
      </c>
      <c r="D19" s="9">
        <f t="shared" ref="D19:Y19" si="3">C20</f>
        <v>2592769.328974016</v>
      </c>
      <c r="E19" s="9">
        <f t="shared" si="3"/>
        <v>3909699.6403941493</v>
      </c>
      <c r="F19" s="9">
        <f t="shared" si="3"/>
        <v>5237039.746260399</v>
      </c>
      <c r="G19" s="9">
        <f t="shared" si="3"/>
        <v>6574789.6465727659</v>
      </c>
      <c r="H19" s="9">
        <f t="shared" si="3"/>
        <v>7923131.9693039879</v>
      </c>
      <c r="I19" s="9">
        <f t="shared" si="3"/>
        <v>9282066.714454066</v>
      </c>
      <c r="J19" s="9">
        <f t="shared" si="3"/>
        <v>10651593.882022999</v>
      </c>
      <c r="K19" s="9">
        <f t="shared" si="3"/>
        <v>12031896.099983528</v>
      </c>
      <c r="L19" s="9">
        <f t="shared" si="3"/>
        <v>13423155.99630839</v>
      </c>
      <c r="M19" s="9">
        <f>L20</f>
        <v>14825556.198970323</v>
      </c>
      <c r="N19" s="9">
        <f t="shared" si="3"/>
        <v>16238914.07999659</v>
      </c>
      <c r="O19" s="9">
        <f t="shared" si="3"/>
        <v>17663412.267359927</v>
      </c>
      <c r="P19" s="9">
        <f t="shared" si="3"/>
        <v>19099233.389033079</v>
      </c>
      <c r="Q19" s="9">
        <f t="shared" si="3"/>
        <v>20546377.445016041</v>
      </c>
      <c r="R19" s="9">
        <f t="shared" si="3"/>
        <v>22005027.063281555</v>
      </c>
      <c r="S19" s="9">
        <f t="shared" si="3"/>
        <v>23475182.243829615</v>
      </c>
      <c r="T19" s="9">
        <f t="shared" si="3"/>
        <v>24957025.614632964</v>
      </c>
      <c r="U19" s="9">
        <f t="shared" si="3"/>
        <v>26450557.175691605</v>
      </c>
      <c r="V19" s="9">
        <f t="shared" si="3"/>
        <v>27955776.927005533</v>
      </c>
      <c r="W19" s="9">
        <f t="shared" si="3"/>
        <v>29472867.49654749</v>
      </c>
      <c r="X19" s="9">
        <f t="shared" si="3"/>
        <v>31001828.884317476</v>
      </c>
      <c r="Y19" s="9">
        <f t="shared" si="3"/>
        <v>32542843.718288228</v>
      </c>
    </row>
    <row r="20" spans="1:25" x14ac:dyDescent="0.35">
      <c r="A20" t="s">
        <v>88</v>
      </c>
      <c r="B20" s="9">
        <f>B19+B18</f>
        <v>1286248.8119999995</v>
      </c>
      <c r="C20" s="9">
        <f>C19+C18</f>
        <v>2592769.328974016</v>
      </c>
      <c r="D20" s="9">
        <f t="shared" ref="D20:Y20" si="4">D19+D18</f>
        <v>3909699.6403941493</v>
      </c>
      <c r="E20" s="9">
        <f t="shared" si="4"/>
        <v>5237039.746260399</v>
      </c>
      <c r="F20" s="9">
        <f t="shared" si="4"/>
        <v>6574789.6465727659</v>
      </c>
      <c r="G20" s="9">
        <f t="shared" si="4"/>
        <v>7923131.9693039879</v>
      </c>
      <c r="H20" s="9">
        <f t="shared" si="4"/>
        <v>9282066.714454066</v>
      </c>
      <c r="I20" s="9">
        <f t="shared" si="4"/>
        <v>10651593.882022999</v>
      </c>
      <c r="J20" s="9">
        <f t="shared" si="4"/>
        <v>12031896.099983528</v>
      </c>
      <c r="K20" s="9">
        <f t="shared" si="4"/>
        <v>13423155.99630839</v>
      </c>
      <c r="L20" s="9">
        <f t="shared" si="4"/>
        <v>14825556.198970323</v>
      </c>
      <c r="M20" s="9">
        <f>M19+M18</f>
        <v>16238914.07999659</v>
      </c>
      <c r="N20" s="9">
        <f t="shared" si="4"/>
        <v>17663412.267359927</v>
      </c>
      <c r="O20" s="9">
        <f t="shared" si="4"/>
        <v>19099233.389033079</v>
      </c>
      <c r="P20" s="9">
        <f t="shared" si="4"/>
        <v>20546377.445016041</v>
      </c>
      <c r="Q20" s="9">
        <f t="shared" si="4"/>
        <v>22005027.063281555</v>
      </c>
      <c r="R20" s="9">
        <f t="shared" si="4"/>
        <v>23475182.243829615</v>
      </c>
      <c r="S20" s="9">
        <f t="shared" si="4"/>
        <v>24957025.614632964</v>
      </c>
      <c r="T20" s="9">
        <f t="shared" si="4"/>
        <v>26450557.175691605</v>
      </c>
      <c r="U20" s="9">
        <f t="shared" si="4"/>
        <v>27955776.927005533</v>
      </c>
      <c r="V20" s="9">
        <f t="shared" si="4"/>
        <v>29472867.49654749</v>
      </c>
      <c r="W20" s="9">
        <f t="shared" si="4"/>
        <v>31001828.884317476</v>
      </c>
      <c r="X20" s="9">
        <f t="shared" si="4"/>
        <v>32542843.718288228</v>
      </c>
      <c r="Y20" s="9">
        <f t="shared" si="4"/>
        <v>34095911.998459749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6DE4-2A43-411E-8569-5ACEE3A94459}">
  <sheetPr>
    <tabColor theme="0" tint="-0.34998626667073579"/>
  </sheetPr>
  <dimension ref="A1:D18"/>
  <sheetViews>
    <sheetView topLeftCell="A2" workbookViewId="0">
      <selection activeCell="D18" sqref="A13:D18"/>
    </sheetView>
  </sheetViews>
  <sheetFormatPr defaultRowHeight="14.5" x14ac:dyDescent="0.35"/>
  <cols>
    <col min="1" max="1" width="22.36328125" bestFit="1" customWidth="1"/>
    <col min="2" max="2" width="14.6328125" customWidth="1"/>
    <col min="3" max="4" width="14.6328125" bestFit="1" customWidth="1"/>
  </cols>
  <sheetData>
    <row r="1" spans="1:4" ht="18.5" x14ac:dyDescent="0.45">
      <c r="A1" s="34" t="s">
        <v>89</v>
      </c>
      <c r="B1" s="3"/>
      <c r="C1" s="3"/>
      <c r="D1" s="3"/>
    </row>
    <row r="2" spans="1:4" x14ac:dyDescent="0.35">
      <c r="A2" s="3"/>
      <c r="B2" s="3"/>
      <c r="C2" s="3"/>
      <c r="D2" s="3"/>
    </row>
    <row r="3" spans="1:4" x14ac:dyDescent="0.35">
      <c r="A3" s="3" t="s">
        <v>90</v>
      </c>
      <c r="B3" s="37" t="s">
        <v>92</v>
      </c>
      <c r="C3" s="37" t="s">
        <v>93</v>
      </c>
      <c r="D3" s="37" t="s">
        <v>94</v>
      </c>
    </row>
    <row r="4" spans="1:4" x14ac:dyDescent="0.35">
      <c r="A4" s="3" t="s">
        <v>91</v>
      </c>
      <c r="B4" s="38">
        <v>0.03</v>
      </c>
      <c r="C4" s="38">
        <v>0.05</v>
      </c>
      <c r="D4" s="38">
        <v>0.01</v>
      </c>
    </row>
    <row r="5" spans="1:4" x14ac:dyDescent="0.35">
      <c r="A5" s="3" t="s">
        <v>3</v>
      </c>
      <c r="B5" s="39">
        <v>0.26540000000000002</v>
      </c>
      <c r="C5" s="38">
        <v>0.2</v>
      </c>
      <c r="D5" s="38">
        <v>0.35</v>
      </c>
    </row>
    <row r="6" spans="1:4" x14ac:dyDescent="0.35">
      <c r="A6" s="3" t="s">
        <v>6</v>
      </c>
      <c r="B6" s="38">
        <v>0.72</v>
      </c>
      <c r="C6" s="38">
        <v>0.75</v>
      </c>
      <c r="D6" s="38">
        <v>0.65</v>
      </c>
    </row>
    <row r="7" spans="1:4" x14ac:dyDescent="0.35">
      <c r="A7" s="3"/>
      <c r="B7" s="3"/>
      <c r="C7" s="3"/>
      <c r="D7" s="3"/>
    </row>
    <row r="8" spans="1:4" x14ac:dyDescent="0.35">
      <c r="A8" s="3"/>
      <c r="B8" s="35"/>
      <c r="C8" s="35"/>
      <c r="D8" s="35"/>
    </row>
    <row r="9" spans="1:4" x14ac:dyDescent="0.35">
      <c r="A9" s="3"/>
      <c r="B9" s="36"/>
      <c r="C9" s="35"/>
      <c r="D9" s="35"/>
    </row>
    <row r="10" spans="1:4" x14ac:dyDescent="0.35">
      <c r="A10" s="3"/>
      <c r="B10" s="35"/>
      <c r="C10" s="35"/>
      <c r="D10" s="35"/>
    </row>
    <row r="11" spans="1:4" x14ac:dyDescent="0.35">
      <c r="A11" s="3"/>
      <c r="B11" s="3"/>
      <c r="C11" s="3"/>
      <c r="D11" s="3"/>
    </row>
    <row r="12" spans="1:4" x14ac:dyDescent="0.35">
      <c r="A12" s="3" t="s">
        <v>95</v>
      </c>
      <c r="B12" s="3"/>
      <c r="C12" s="3"/>
      <c r="D12" s="3"/>
    </row>
    <row r="13" spans="1:4" x14ac:dyDescent="0.35">
      <c r="A13" s="54" t="s">
        <v>96</v>
      </c>
      <c r="B13" s="55">
        <v>6014288.8554309243</v>
      </c>
      <c r="C13" s="55">
        <v>8113344.831463865</v>
      </c>
      <c r="D13" s="55">
        <v>4339551.4883998288</v>
      </c>
    </row>
    <row r="14" spans="1:4" x14ac:dyDescent="0.35">
      <c r="A14" s="54" t="s">
        <v>97</v>
      </c>
      <c r="B14" s="55">
        <v>6608801.1922192248</v>
      </c>
      <c r="C14" s="55">
        <v>12023914.869004685</v>
      </c>
      <c r="D14" s="55">
        <v>3440400.1502768695</v>
      </c>
    </row>
    <row r="15" spans="1:4" x14ac:dyDescent="0.35">
      <c r="A15" s="54" t="s">
        <v>98</v>
      </c>
      <c r="B15" s="55">
        <v>992357.66114610212</v>
      </c>
      <c r="C15" s="55">
        <v>1338701.897191538</v>
      </c>
      <c r="D15" s="55">
        <v>716025.99558597151</v>
      </c>
    </row>
    <row r="16" spans="1:4" x14ac:dyDescent="0.35">
      <c r="A16" s="54" t="s">
        <v>99</v>
      </c>
      <c r="B16" s="55">
        <v>1090452.1967161717</v>
      </c>
      <c r="C16" s="55">
        <v>1983945.9533857726</v>
      </c>
      <c r="D16" s="55">
        <v>567666.02479568333</v>
      </c>
    </row>
    <row r="17" spans="1:4" x14ac:dyDescent="0.35">
      <c r="A17" s="54" t="s">
        <v>100</v>
      </c>
      <c r="B17" s="55">
        <v>16238914.07999659</v>
      </c>
      <c r="C17" s="55">
        <v>19183790.140411187</v>
      </c>
      <c r="D17" s="55">
        <v>13666233.828023851</v>
      </c>
    </row>
    <row r="18" spans="1:4" x14ac:dyDescent="0.35">
      <c r="A18" s="54" t="s">
        <v>101</v>
      </c>
      <c r="B18" s="55">
        <v>34095911.998459749</v>
      </c>
      <c r="C18" s="55">
        <v>47677954.33105097</v>
      </c>
      <c r="D18" s="55">
        <v>24482010.257539108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C309-CDDC-4709-9DEE-41FA0C789BA5}">
  <sheetPr>
    <tabColor theme="0" tint="-0.34998626667073579"/>
  </sheetPr>
  <dimension ref="A1:E1060"/>
  <sheetViews>
    <sheetView topLeftCell="A10" workbookViewId="0">
      <selection activeCell="I24" sqref="I24"/>
    </sheetView>
  </sheetViews>
  <sheetFormatPr defaultRowHeight="14.5" x14ac:dyDescent="0.35"/>
  <cols>
    <col min="1" max="1" width="24.54296875" bestFit="1" customWidth="1"/>
    <col min="2" max="2" width="20.7265625" customWidth="1"/>
    <col min="3" max="3" width="19.54296875" customWidth="1"/>
    <col min="4" max="4" width="12.36328125" customWidth="1"/>
    <col min="5" max="5" width="14.6328125" bestFit="1" customWidth="1"/>
  </cols>
  <sheetData>
    <row r="1" spans="1:5" x14ac:dyDescent="0.35">
      <c r="A1" t="s">
        <v>102</v>
      </c>
    </row>
    <row r="3" spans="1:5" x14ac:dyDescent="0.35">
      <c r="A3" t="s">
        <v>103</v>
      </c>
    </row>
    <row r="4" spans="1:5" x14ac:dyDescent="0.35">
      <c r="A4" t="s">
        <v>104</v>
      </c>
      <c r="B4" s="40">
        <v>0.03</v>
      </c>
    </row>
    <row r="5" spans="1:5" x14ac:dyDescent="0.35">
      <c r="A5" t="s">
        <v>105</v>
      </c>
      <c r="B5" s="40">
        <v>0.01</v>
      </c>
    </row>
    <row r="6" spans="1:5" x14ac:dyDescent="0.35">
      <c r="A6" t="s">
        <v>106</v>
      </c>
      <c r="B6" s="41">
        <v>0.26540000000000002</v>
      </c>
    </row>
    <row r="7" spans="1:5" x14ac:dyDescent="0.35">
      <c r="A7" t="s">
        <v>107</v>
      </c>
      <c r="B7" s="40">
        <v>0.05</v>
      </c>
    </row>
    <row r="9" spans="1:5" x14ac:dyDescent="0.35">
      <c r="A9" t="s">
        <v>108</v>
      </c>
    </row>
    <row r="10" spans="1:5" x14ac:dyDescent="0.35">
      <c r="A10" t="s">
        <v>109</v>
      </c>
      <c r="B10">
        <v>1000</v>
      </c>
    </row>
    <row r="13" spans="1:5" x14ac:dyDescent="0.35">
      <c r="A13" t="s">
        <v>110</v>
      </c>
      <c r="B13" t="s">
        <v>111</v>
      </c>
      <c r="C13" t="s">
        <v>112</v>
      </c>
      <c r="D13" t="s">
        <v>113</v>
      </c>
      <c r="E13" t="s">
        <v>97</v>
      </c>
    </row>
    <row r="14" spans="1:5" x14ac:dyDescent="0.35">
      <c r="A14">
        <v>1</v>
      </c>
      <c r="B14">
        <f ca="1">_xlfn.NORM.INV(RAND(), $B$4, $B$5)</f>
        <v>4.6541649367376661E-2</v>
      </c>
      <c r="C14">
        <f ca="1">+_xlfn.NORM.INV(RAND(), $B$6, $B$7)</f>
        <v>0.22541931559162276</v>
      </c>
      <c r="D14" s="9">
        <f ca="1">Assumptions!B$3*(1+B14)^24*(1-C14/12)^24</f>
        <v>862130.82669447246</v>
      </c>
      <c r="E14" s="9">
        <f ca="1">D14*12</f>
        <v>10345569.920333669</v>
      </c>
    </row>
    <row r="15" spans="1:5" x14ac:dyDescent="0.35">
      <c r="A15">
        <v>2</v>
      </c>
      <c r="B15">
        <f ca="1">_xlfn.NORM.INV(RAND(), $B$4, $B$5)</f>
        <v>3.8621051561891648E-2</v>
      </c>
      <c r="C15">
        <f ca="1">+_xlfn.NORM.INV(RAND(), $B$6, $B$7)</f>
        <v>0.32640194785162913</v>
      </c>
      <c r="D15" s="9">
        <f ca="1">Assumptions!B$3*(1+B15)^24*(1-C15/12)^24</f>
        <v>584265.88452279032</v>
      </c>
      <c r="E15" s="9">
        <f ca="1">D15*12</f>
        <v>7011190.6142734839</v>
      </c>
    </row>
    <row r="16" spans="1:5" x14ac:dyDescent="0.35">
      <c r="A16">
        <v>3</v>
      </c>
      <c r="B16">
        <f t="shared" ref="B16:B79" ca="1" si="0">_xlfn.NORM.INV(RAND(), $B$4, $B$5)</f>
        <v>2.1635068932003811E-2</v>
      </c>
      <c r="C16">
        <f t="shared" ref="C16:C79" ca="1" si="1">+_xlfn.NORM.INV(RAND(), $B$6, $B$7)</f>
        <v>0.24727140987220375</v>
      </c>
      <c r="D16" s="9">
        <f ca="1">Assumptions!B$3*(1+B16)^24*(1-C16/12)^24</f>
        <v>462544.96036813274</v>
      </c>
      <c r="E16" s="9">
        <f t="shared" ref="E16:E79" ca="1" si="2">D16*12</f>
        <v>5550539.5244175931</v>
      </c>
    </row>
    <row r="17" spans="1:5" x14ac:dyDescent="0.35">
      <c r="A17">
        <v>4</v>
      </c>
      <c r="B17">
        <f t="shared" ca="1" si="0"/>
        <v>3.3347173701046645E-2</v>
      </c>
      <c r="C17">
        <f t="shared" ca="1" si="1"/>
        <v>0.22034548561910089</v>
      </c>
      <c r="D17" s="9">
        <f ca="1">Assumptions!B$3*(1+B17)^24*(1-C17/12)^24</f>
        <v>642417.54531093873</v>
      </c>
      <c r="E17" s="9">
        <f t="shared" ca="1" si="2"/>
        <v>7709010.5437312648</v>
      </c>
    </row>
    <row r="18" spans="1:5" x14ac:dyDescent="0.35">
      <c r="A18">
        <v>5</v>
      </c>
      <c r="B18">
        <f t="shared" ca="1" si="0"/>
        <v>2.6268525339178096E-2</v>
      </c>
      <c r="C18">
        <f t="shared" ca="1" si="1"/>
        <v>0.22163558839245817</v>
      </c>
      <c r="D18" s="9">
        <f ca="1">Assumptions!B$3*(1+B18)^24*(1-C18/12)^24</f>
        <v>543287.72284626565</v>
      </c>
      <c r="E18" s="9">
        <f t="shared" ca="1" si="2"/>
        <v>6519452.6741551878</v>
      </c>
    </row>
    <row r="19" spans="1:5" x14ac:dyDescent="0.35">
      <c r="A19">
        <v>6</v>
      </c>
      <c r="B19">
        <f t="shared" ca="1" si="0"/>
        <v>1.6545754401614165E-2</v>
      </c>
      <c r="C19">
        <f t="shared" ca="1" si="1"/>
        <v>0.249584730201063</v>
      </c>
      <c r="D19" s="9">
        <f ca="1">Assumptions!B$3*(1+B19)^24*(1-C19/12)^24</f>
        <v>408365.90899529407</v>
      </c>
      <c r="E19" s="9">
        <f t="shared" ca="1" si="2"/>
        <v>4900390.9079435291</v>
      </c>
    </row>
    <row r="20" spans="1:5" x14ac:dyDescent="0.35">
      <c r="A20">
        <v>7</v>
      </c>
      <c r="B20">
        <f t="shared" ca="1" si="0"/>
        <v>3.0043042475381365E-2</v>
      </c>
      <c r="C20">
        <f t="shared" ca="1" si="1"/>
        <v>0.17554148518757351</v>
      </c>
      <c r="D20" s="9">
        <f ca="1">Assumptions!B$3*(1+B20)^24*(1-C20/12)^24</f>
        <v>651636.21285380097</v>
      </c>
      <c r="E20" s="9">
        <f t="shared" ca="1" si="2"/>
        <v>7819634.5542456117</v>
      </c>
    </row>
    <row r="21" spans="1:5" x14ac:dyDescent="0.35">
      <c r="A21">
        <v>8</v>
      </c>
      <c r="B21">
        <f t="shared" ca="1" si="0"/>
        <v>1.2478111624215048E-2</v>
      </c>
      <c r="C21">
        <f t="shared" ca="1" si="1"/>
        <v>0.23283675853335073</v>
      </c>
      <c r="D21" s="9">
        <f ca="1">Assumptions!B$3*(1+B21)^24*(1-C21/12)^24</f>
        <v>383799.22004272946</v>
      </c>
      <c r="E21" s="9">
        <f t="shared" ca="1" si="2"/>
        <v>4605590.6405127533</v>
      </c>
    </row>
    <row r="22" spans="1:5" x14ac:dyDescent="0.35">
      <c r="A22">
        <v>9</v>
      </c>
      <c r="B22">
        <f t="shared" ca="1" si="0"/>
        <v>3.3818328010878917E-2</v>
      </c>
      <c r="C22">
        <f t="shared" ca="1" si="1"/>
        <v>0.20999837655510956</v>
      </c>
      <c r="D22" s="9">
        <f ca="1">Assumptions!B$3*(1+B22)^24*(1-C22/12)^24</f>
        <v>663315.56031424575</v>
      </c>
      <c r="E22" s="9">
        <f t="shared" ca="1" si="2"/>
        <v>7959786.7237709491</v>
      </c>
    </row>
    <row r="23" spans="1:5" x14ac:dyDescent="0.35">
      <c r="A23">
        <v>10</v>
      </c>
      <c r="B23">
        <f t="shared" ca="1" si="0"/>
        <v>3.2019105444386645E-2</v>
      </c>
      <c r="C23">
        <f t="shared" ca="1" si="1"/>
        <v>0.21177241023750248</v>
      </c>
      <c r="D23" s="9">
        <f ca="1">Assumptions!B$3*(1+B23)^24*(1-C23/12)^24</f>
        <v>633863.80949015892</v>
      </c>
      <c r="E23" s="9">
        <f t="shared" ca="1" si="2"/>
        <v>7606365.7138819071</v>
      </c>
    </row>
    <row r="24" spans="1:5" x14ac:dyDescent="0.35">
      <c r="A24">
        <v>11</v>
      </c>
      <c r="B24">
        <f t="shared" ca="1" si="0"/>
        <v>3.540758501651764E-2</v>
      </c>
      <c r="C24">
        <f t="shared" ca="1" si="1"/>
        <v>0.27161058838253604</v>
      </c>
      <c r="D24" s="9">
        <f ca="1">Assumptions!B$3*(1+B24)^24*(1-C24/12)^24</f>
        <v>606902.93409604486</v>
      </c>
      <c r="E24" s="9">
        <f t="shared" ca="1" si="2"/>
        <v>7282835.2091525383</v>
      </c>
    </row>
    <row r="25" spans="1:5" x14ac:dyDescent="0.35">
      <c r="A25">
        <v>12</v>
      </c>
      <c r="B25">
        <f t="shared" ca="1" si="0"/>
        <v>4.0697449080043607E-2</v>
      </c>
      <c r="C25">
        <f t="shared" ca="1" si="1"/>
        <v>0.31434012958341279</v>
      </c>
      <c r="D25" s="9">
        <f ca="1">Assumptions!B$3*(1+B25)^24*(1-C25/12)^24</f>
        <v>628335.39673204301</v>
      </c>
      <c r="E25" s="9">
        <f t="shared" ca="1" si="2"/>
        <v>7540024.7607845161</v>
      </c>
    </row>
    <row r="26" spans="1:5" x14ac:dyDescent="0.35">
      <c r="A26">
        <v>13</v>
      </c>
      <c r="B26">
        <f t="shared" ca="1" si="0"/>
        <v>2.5462083049652716E-2</v>
      </c>
      <c r="C26">
        <f t="shared" ca="1" si="1"/>
        <v>0.25654319557472754</v>
      </c>
      <c r="D26" s="9">
        <f ca="1">Assumptions!B$3*(1+B26)^24*(1-C26/12)^24</f>
        <v>496477.35833532643</v>
      </c>
      <c r="E26" s="9">
        <f t="shared" ca="1" si="2"/>
        <v>5957728.3000239171</v>
      </c>
    </row>
    <row r="27" spans="1:5" x14ac:dyDescent="0.35">
      <c r="A27">
        <v>14</v>
      </c>
      <c r="B27">
        <f t="shared" ca="1" si="0"/>
        <v>3.9652955875683966E-2</v>
      </c>
      <c r="C27">
        <f t="shared" ca="1" si="1"/>
        <v>0.31516784877696719</v>
      </c>
      <c r="D27" s="9">
        <f ca="1">Assumptions!B$3*(1+B27)^24*(1-C27/12)^24</f>
        <v>612331.88690697565</v>
      </c>
      <c r="E27" s="9">
        <f t="shared" ca="1" si="2"/>
        <v>7347982.6428837078</v>
      </c>
    </row>
    <row r="28" spans="1:5" x14ac:dyDescent="0.35">
      <c r="A28">
        <v>15</v>
      </c>
      <c r="B28">
        <f t="shared" ca="1" si="0"/>
        <v>2.6428400799379848E-2</v>
      </c>
      <c r="C28">
        <f t="shared" ca="1" si="1"/>
        <v>0.1834824222970371</v>
      </c>
      <c r="D28" s="9">
        <f ca="1">Assumptions!B$3*(1+B28)^24*(1-C28/12)^24</f>
        <v>589334.61120190506</v>
      </c>
      <c r="E28" s="9">
        <f t="shared" ca="1" si="2"/>
        <v>7072015.3344228603</v>
      </c>
    </row>
    <row r="29" spans="1:5" x14ac:dyDescent="0.35">
      <c r="A29">
        <v>16</v>
      </c>
      <c r="B29">
        <f t="shared" ca="1" si="0"/>
        <v>3.9583703402195344E-2</v>
      </c>
      <c r="C29">
        <f t="shared" ca="1" si="1"/>
        <v>0.21128870808174877</v>
      </c>
      <c r="D29" s="9">
        <f ca="1">Assumptions!B$3*(1+B29)^24*(1-C29/12)^24</f>
        <v>756040.47491515474</v>
      </c>
      <c r="E29" s="9">
        <f t="shared" ca="1" si="2"/>
        <v>9072485.6989818569</v>
      </c>
    </row>
    <row r="30" spans="1:5" x14ac:dyDescent="0.35">
      <c r="A30">
        <v>17</v>
      </c>
      <c r="B30">
        <f t="shared" ca="1" si="0"/>
        <v>3.6204231178744793E-2</v>
      </c>
      <c r="C30">
        <f t="shared" ca="1" si="1"/>
        <v>0.16908877288535518</v>
      </c>
      <c r="D30" s="9">
        <f ca="1">Assumptions!B$3*(1+B30)^24*(1-C30/12)^24</f>
        <v>761818.19472361938</v>
      </c>
      <c r="E30" s="9">
        <f t="shared" ca="1" si="2"/>
        <v>9141818.3366834335</v>
      </c>
    </row>
    <row r="31" spans="1:5" x14ac:dyDescent="0.35">
      <c r="A31">
        <v>18</v>
      </c>
      <c r="B31">
        <f t="shared" ca="1" si="0"/>
        <v>3.9632739593848998E-2</v>
      </c>
      <c r="C31">
        <f t="shared" ca="1" si="1"/>
        <v>0.30369008043787676</v>
      </c>
      <c r="D31" s="9">
        <f ca="1">Assumptions!B$3*(1+B31)^24*(1-C31/12)^24</f>
        <v>626639.16215191374</v>
      </c>
      <c r="E31" s="9">
        <f t="shared" ca="1" si="2"/>
        <v>7519669.9458229654</v>
      </c>
    </row>
    <row r="32" spans="1:5" x14ac:dyDescent="0.35">
      <c r="A32">
        <v>19</v>
      </c>
      <c r="B32">
        <f t="shared" ca="1" si="0"/>
        <v>3.9932293576307697E-2</v>
      </c>
      <c r="C32">
        <f t="shared" ca="1" si="1"/>
        <v>0.26572154514724511</v>
      </c>
      <c r="D32" s="9">
        <f ca="1">Assumptions!B$3*(1+B32)^24*(1-C32/12)^24</f>
        <v>682025.92633227992</v>
      </c>
      <c r="E32" s="9">
        <f t="shared" ca="1" si="2"/>
        <v>8184311.1159873586</v>
      </c>
    </row>
    <row r="33" spans="1:5" x14ac:dyDescent="0.35">
      <c r="A33">
        <v>20</v>
      </c>
      <c r="B33">
        <f t="shared" ca="1" si="0"/>
        <v>2.1467128734117796E-2</v>
      </c>
      <c r="C33">
        <f t="shared" ca="1" si="1"/>
        <v>0.18519918322941498</v>
      </c>
      <c r="D33" s="9">
        <f ca="1">Assumptions!B$3*(1+B33)^24*(1-C33/12)^24</f>
        <v>522811.54256732948</v>
      </c>
      <c r="E33" s="9">
        <f t="shared" ca="1" si="2"/>
        <v>6273738.5108079538</v>
      </c>
    </row>
    <row r="34" spans="1:5" x14ac:dyDescent="0.35">
      <c r="A34">
        <v>21</v>
      </c>
      <c r="B34">
        <f t="shared" ca="1" si="0"/>
        <v>1.7919330204671732E-2</v>
      </c>
      <c r="C34">
        <f t="shared" ca="1" si="1"/>
        <v>0.28963572117795727</v>
      </c>
      <c r="D34" s="9">
        <f ca="1">Assumptions!B$3*(1+B34)^24*(1-C34/12)^24</f>
        <v>388630.04616832291</v>
      </c>
      <c r="E34" s="9">
        <f t="shared" ca="1" si="2"/>
        <v>4663560.5540198749</v>
      </c>
    </row>
    <row r="35" spans="1:5" x14ac:dyDescent="0.35">
      <c r="A35">
        <v>22</v>
      </c>
      <c r="B35">
        <f t="shared" ca="1" si="0"/>
        <v>3.1790680059430428E-2</v>
      </c>
      <c r="C35">
        <f t="shared" ca="1" si="1"/>
        <v>0.26111385810288612</v>
      </c>
      <c r="D35" s="9">
        <f ca="1">Assumptions!B$3*(1+B35)^24*(1-C35/12)^24</f>
        <v>570124.56896121334</v>
      </c>
      <c r="E35" s="9">
        <f t="shared" ca="1" si="2"/>
        <v>6841494.8275345601</v>
      </c>
    </row>
    <row r="36" spans="1:5" x14ac:dyDescent="0.35">
      <c r="A36">
        <v>23</v>
      </c>
      <c r="B36">
        <f t="shared" ca="1" si="0"/>
        <v>2.4160434013669754E-2</v>
      </c>
      <c r="C36">
        <f t="shared" ca="1" si="1"/>
        <v>0.40074760305173607</v>
      </c>
      <c r="D36" s="9">
        <f ca="1">Assumptions!B$3*(1+B36)^24*(1-C36/12)^24</f>
        <v>357995.68743872026</v>
      </c>
      <c r="E36" s="9">
        <f t="shared" ca="1" si="2"/>
        <v>4295948.2492646426</v>
      </c>
    </row>
    <row r="37" spans="1:5" x14ac:dyDescent="0.35">
      <c r="A37">
        <v>24</v>
      </c>
      <c r="B37">
        <f t="shared" ca="1" si="0"/>
        <v>3.8111546958973411E-2</v>
      </c>
      <c r="C37">
        <f t="shared" ca="1" si="1"/>
        <v>0.25150716827200131</v>
      </c>
      <c r="D37" s="9">
        <f ca="1">Assumptions!B$3*(1+B37)^24*(1-C37/12)^24</f>
        <v>673215.71429834317</v>
      </c>
      <c r="E37" s="9">
        <f t="shared" ca="1" si="2"/>
        <v>8078588.5715801176</v>
      </c>
    </row>
    <row r="38" spans="1:5" x14ac:dyDescent="0.35">
      <c r="A38">
        <v>25</v>
      </c>
      <c r="B38">
        <f t="shared" ca="1" si="0"/>
        <v>3.3816135721307664E-2</v>
      </c>
      <c r="C38">
        <f t="shared" ca="1" si="1"/>
        <v>0.28383459264681005</v>
      </c>
      <c r="D38" s="9">
        <f ca="1">Assumptions!B$3*(1+B38)^24*(1-C38/12)^24</f>
        <v>570449.48142697848</v>
      </c>
      <c r="E38" s="9">
        <f t="shared" ca="1" si="2"/>
        <v>6845393.7771237418</v>
      </c>
    </row>
    <row r="39" spans="1:5" x14ac:dyDescent="0.35">
      <c r="A39">
        <v>26</v>
      </c>
      <c r="B39">
        <f t="shared" ca="1" si="0"/>
        <v>2.4776331015474592E-2</v>
      </c>
      <c r="C39">
        <f t="shared" ca="1" si="1"/>
        <v>0.30124294102307392</v>
      </c>
      <c r="D39" s="9">
        <f ca="1">Assumptions!B$3*(1+B39)^24*(1-C39/12)^24</f>
        <v>445838.30085600755</v>
      </c>
      <c r="E39" s="9">
        <f t="shared" ca="1" si="2"/>
        <v>5350059.6102720909</v>
      </c>
    </row>
    <row r="40" spans="1:5" x14ac:dyDescent="0.35">
      <c r="A40">
        <v>27</v>
      </c>
      <c r="B40">
        <f t="shared" ca="1" si="0"/>
        <v>3.8929878608713046E-2</v>
      </c>
      <c r="C40">
        <f t="shared" ca="1" si="1"/>
        <v>0.27923928925281988</v>
      </c>
      <c r="D40" s="9">
        <f ca="1">Assumptions!B$3*(1+B40)^24*(1-C40/12)^24</f>
        <v>648238.51989984466</v>
      </c>
      <c r="E40" s="9">
        <f t="shared" ca="1" si="2"/>
        <v>7778862.2387981359</v>
      </c>
    </row>
    <row r="41" spans="1:5" x14ac:dyDescent="0.35">
      <c r="A41">
        <v>28</v>
      </c>
      <c r="B41">
        <f t="shared" ca="1" si="0"/>
        <v>4.8598952351763432E-3</v>
      </c>
      <c r="C41">
        <f t="shared" ca="1" si="1"/>
        <v>0.24676881645976287</v>
      </c>
      <c r="D41" s="9">
        <f ca="1">Assumptions!B$3*(1+B41)^24*(1-C41/12)^24</f>
        <v>311195.26982301293</v>
      </c>
      <c r="E41" s="9">
        <f t="shared" ca="1" si="2"/>
        <v>3734343.2378761554</v>
      </c>
    </row>
    <row r="42" spans="1:5" x14ac:dyDescent="0.35">
      <c r="A42">
        <v>29</v>
      </c>
      <c r="B42">
        <f t="shared" ca="1" si="0"/>
        <v>1.10521120988884E-2</v>
      </c>
      <c r="C42">
        <f t="shared" ca="1" si="1"/>
        <v>0.17002238683420273</v>
      </c>
      <c r="D42" s="9">
        <f ca="1">Assumptions!B$3*(1+B42)^24*(1-C42/12)^24</f>
        <v>421604.36467671004</v>
      </c>
      <c r="E42" s="9">
        <f t="shared" ca="1" si="2"/>
        <v>5059252.3761205208</v>
      </c>
    </row>
    <row r="43" spans="1:5" x14ac:dyDescent="0.35">
      <c r="A43">
        <v>30</v>
      </c>
      <c r="B43">
        <f t="shared" ca="1" si="0"/>
        <v>4.2967605296082852E-2</v>
      </c>
      <c r="C43">
        <f t="shared" ca="1" si="1"/>
        <v>0.22912381940332249</v>
      </c>
      <c r="D43" s="9">
        <f ca="1">Assumptions!B$3*(1+B43)^24*(1-C43/12)^24</f>
        <v>788200.36290449428</v>
      </c>
      <c r="E43" s="9">
        <f t="shared" ca="1" si="2"/>
        <v>9458404.3548539318</v>
      </c>
    </row>
    <row r="44" spans="1:5" x14ac:dyDescent="0.35">
      <c r="A44">
        <v>31</v>
      </c>
      <c r="B44">
        <f t="shared" ca="1" si="0"/>
        <v>2.7062089725955044E-2</v>
      </c>
      <c r="C44">
        <f t="shared" ca="1" si="1"/>
        <v>0.23666789686094189</v>
      </c>
      <c r="D44" s="9">
        <f ca="1">Assumptions!B$3*(1+B44)^24*(1-C44/12)^24</f>
        <v>536754.07361390814</v>
      </c>
      <c r="E44" s="9">
        <f t="shared" ca="1" si="2"/>
        <v>6441048.8833668977</v>
      </c>
    </row>
    <row r="45" spans="1:5" x14ac:dyDescent="0.35">
      <c r="A45">
        <v>32</v>
      </c>
      <c r="B45">
        <f t="shared" ca="1" si="0"/>
        <v>1.2762505398549576E-2</v>
      </c>
      <c r="C45">
        <f t="shared" ca="1" si="1"/>
        <v>0.22949207773886113</v>
      </c>
      <c r="D45" s="9">
        <f ca="1">Assumptions!B$3*(1+B45)^24*(1-C45/12)^24</f>
        <v>389039.42608313012</v>
      </c>
      <c r="E45" s="9">
        <f t="shared" ca="1" si="2"/>
        <v>4668473.1129975617</v>
      </c>
    </row>
    <row r="46" spans="1:5" x14ac:dyDescent="0.35">
      <c r="A46">
        <v>33</v>
      </c>
      <c r="B46">
        <f t="shared" ca="1" si="0"/>
        <v>3.9227476413821731E-2</v>
      </c>
      <c r="C46">
        <f t="shared" ca="1" si="1"/>
        <v>0.19641858010308949</v>
      </c>
      <c r="D46" s="9">
        <f ca="1">Assumptions!B$3*(1+B46)^24*(1-C46/12)^24</f>
        <v>772880.00328086887</v>
      </c>
      <c r="E46" s="9">
        <f t="shared" ca="1" si="2"/>
        <v>9274560.0393704269</v>
      </c>
    </row>
    <row r="47" spans="1:5" x14ac:dyDescent="0.35">
      <c r="A47">
        <v>34</v>
      </c>
      <c r="B47">
        <f t="shared" ca="1" si="0"/>
        <v>3.0970114453486599E-2</v>
      </c>
      <c r="C47">
        <f t="shared" ca="1" si="1"/>
        <v>0.15478983169635663</v>
      </c>
      <c r="D47" s="9">
        <f ca="1">Assumptions!B$3*(1+B47)^24*(1-C47/12)^24</f>
        <v>694477.69391147292</v>
      </c>
      <c r="E47" s="9">
        <f t="shared" ca="1" si="2"/>
        <v>8333732.3269376755</v>
      </c>
    </row>
    <row r="48" spans="1:5" x14ac:dyDescent="0.35">
      <c r="A48">
        <v>35</v>
      </c>
      <c r="B48">
        <f t="shared" ca="1" si="0"/>
        <v>3.5512187257410462E-2</v>
      </c>
      <c r="C48">
        <f t="shared" ca="1" si="1"/>
        <v>0.28919984516113179</v>
      </c>
      <c r="D48" s="9">
        <f ca="1">Assumptions!B$3*(1+B48)^24*(1-C48/12)^24</f>
        <v>586852.28329893004</v>
      </c>
      <c r="E48" s="9">
        <f t="shared" ca="1" si="2"/>
        <v>7042227.39958716</v>
      </c>
    </row>
    <row r="49" spans="1:5" x14ac:dyDescent="0.35">
      <c r="A49">
        <v>36</v>
      </c>
      <c r="B49">
        <f t="shared" ca="1" si="0"/>
        <v>1.8539530443729961E-2</v>
      </c>
      <c r="C49">
        <f t="shared" ca="1" si="1"/>
        <v>0.27704774376020536</v>
      </c>
      <c r="D49" s="9">
        <f ca="1">Assumptions!B$3*(1+B49)^24*(1-C49/12)^24</f>
        <v>404653.42424560036</v>
      </c>
      <c r="E49" s="9">
        <f t="shared" ca="1" si="2"/>
        <v>4855841.0909472043</v>
      </c>
    </row>
    <row r="50" spans="1:5" x14ac:dyDescent="0.35">
      <c r="A50">
        <v>37</v>
      </c>
      <c r="B50">
        <f t="shared" ca="1" si="0"/>
        <v>3.1920598996934522E-2</v>
      </c>
      <c r="C50">
        <f t="shared" ca="1" si="1"/>
        <v>0.17533077127771451</v>
      </c>
      <c r="D50" s="9">
        <f ca="1">Assumptions!B$3*(1+B50)^24*(1-C50/12)^24</f>
        <v>681040.22364163119</v>
      </c>
      <c r="E50" s="9">
        <f t="shared" ca="1" si="2"/>
        <v>8172482.6836995743</v>
      </c>
    </row>
    <row r="51" spans="1:5" x14ac:dyDescent="0.35">
      <c r="A51">
        <v>38</v>
      </c>
      <c r="B51">
        <f t="shared" ca="1" si="0"/>
        <v>2.3294427500367157E-2</v>
      </c>
      <c r="C51">
        <f t="shared" ca="1" si="1"/>
        <v>0.28197586871132319</v>
      </c>
      <c r="D51" s="9">
        <f ca="1">Assumptions!B$3*(1+B51)^24*(1-C51/12)^24</f>
        <v>447966.87865131401</v>
      </c>
      <c r="E51" s="9">
        <f t="shared" ca="1" si="2"/>
        <v>5375602.5438157683</v>
      </c>
    </row>
    <row r="52" spans="1:5" x14ac:dyDescent="0.35">
      <c r="A52">
        <v>39</v>
      </c>
      <c r="B52">
        <f t="shared" ca="1" si="0"/>
        <v>3.417011406717925E-2</v>
      </c>
      <c r="C52">
        <f t="shared" ca="1" si="1"/>
        <v>0.28395591485054039</v>
      </c>
      <c r="D52" s="9">
        <f ca="1">Assumptions!B$3*(1+B52)^24*(1-C52/12)^24</f>
        <v>575012.78569378646</v>
      </c>
      <c r="E52" s="9">
        <f t="shared" ca="1" si="2"/>
        <v>6900153.428325437</v>
      </c>
    </row>
    <row r="53" spans="1:5" x14ac:dyDescent="0.35">
      <c r="A53">
        <v>40</v>
      </c>
      <c r="B53">
        <f t="shared" ca="1" si="0"/>
        <v>1.8582356131758886E-2</v>
      </c>
      <c r="C53">
        <f t="shared" ca="1" si="1"/>
        <v>0.3291164137863819</v>
      </c>
      <c r="D53" s="9">
        <f ca="1">Assumptions!B$3*(1+B53)^24*(1-C53/12)^24</f>
        <v>364018.32039731048</v>
      </c>
      <c r="E53" s="9">
        <f t="shared" ca="1" si="2"/>
        <v>4368219.844767726</v>
      </c>
    </row>
    <row r="54" spans="1:5" x14ac:dyDescent="0.35">
      <c r="A54">
        <v>41</v>
      </c>
      <c r="B54">
        <f t="shared" ca="1" si="0"/>
        <v>2.2390801579639644E-2</v>
      </c>
      <c r="C54">
        <f t="shared" ca="1" si="1"/>
        <v>0.14863016277332441</v>
      </c>
      <c r="D54" s="9">
        <f ca="1">Assumptions!B$3*(1+B54)^24*(1-C54/12)^24</f>
        <v>575410.26125150057</v>
      </c>
      <c r="E54" s="9">
        <f t="shared" ca="1" si="2"/>
        <v>6904923.1350180069</v>
      </c>
    </row>
    <row r="55" spans="1:5" x14ac:dyDescent="0.35">
      <c r="A55">
        <v>42</v>
      </c>
      <c r="B55">
        <f t="shared" ca="1" si="0"/>
        <v>4.6964841479084668E-2</v>
      </c>
      <c r="C55">
        <f t="shared" ca="1" si="1"/>
        <v>0.2843297927755411</v>
      </c>
      <c r="D55" s="9">
        <f ca="1">Assumptions!B$3*(1+B55)^24*(1-C55/12)^24</f>
        <v>771805.0722091482</v>
      </c>
      <c r="E55" s="9">
        <f t="shared" ca="1" si="2"/>
        <v>9261660.8665097784</v>
      </c>
    </row>
    <row r="56" spans="1:5" x14ac:dyDescent="0.35">
      <c r="A56">
        <v>43</v>
      </c>
      <c r="B56">
        <f t="shared" ca="1" si="0"/>
        <v>1.8848225857999515E-2</v>
      </c>
      <c r="C56">
        <f t="shared" ca="1" si="1"/>
        <v>0.2877496624833551</v>
      </c>
      <c r="D56" s="9">
        <f ca="1">Assumptions!B$3*(1+B56)^24*(1-C56/12)^24</f>
        <v>398769.68228410656</v>
      </c>
      <c r="E56" s="9">
        <f t="shared" ca="1" si="2"/>
        <v>4785236.1874092789</v>
      </c>
    </row>
    <row r="57" spans="1:5" x14ac:dyDescent="0.35">
      <c r="A57">
        <v>44</v>
      </c>
      <c r="B57">
        <f t="shared" ca="1" si="0"/>
        <v>3.0011113990367152E-2</v>
      </c>
      <c r="C57">
        <f t="shared" ca="1" si="1"/>
        <v>0.2673233952151261</v>
      </c>
      <c r="D57" s="9">
        <f ca="1">Assumptions!B$3*(1+B57)^24*(1-C57/12)^24</f>
        <v>540085.14945841988</v>
      </c>
      <c r="E57" s="9">
        <f t="shared" ca="1" si="2"/>
        <v>6481021.7935010381</v>
      </c>
    </row>
    <row r="58" spans="1:5" x14ac:dyDescent="0.35">
      <c r="A58">
        <v>45</v>
      </c>
      <c r="B58">
        <f t="shared" ca="1" si="0"/>
        <v>4.0020350335346441E-2</v>
      </c>
      <c r="C58">
        <f t="shared" ca="1" si="1"/>
        <v>0.21282343114836816</v>
      </c>
      <c r="D58" s="9">
        <f ca="1">Assumptions!B$3*(1+B58)^24*(1-C58/12)^24</f>
        <v>761316.0924594996</v>
      </c>
      <c r="E58" s="9">
        <f t="shared" ca="1" si="2"/>
        <v>9135793.1095139943</v>
      </c>
    </row>
    <row r="59" spans="1:5" x14ac:dyDescent="0.35">
      <c r="A59">
        <v>46</v>
      </c>
      <c r="B59">
        <f t="shared" ca="1" si="0"/>
        <v>2.3366453928992593E-2</v>
      </c>
      <c r="C59">
        <f t="shared" ca="1" si="1"/>
        <v>0.32055290578249496</v>
      </c>
      <c r="D59" s="9">
        <f ca="1">Assumptions!B$3*(1+B59)^24*(1-C59/12)^24</f>
        <v>414580.64445757342</v>
      </c>
      <c r="E59" s="9">
        <f t="shared" ca="1" si="2"/>
        <v>4974967.7334908806</v>
      </c>
    </row>
    <row r="60" spans="1:5" x14ac:dyDescent="0.35">
      <c r="A60">
        <v>47</v>
      </c>
      <c r="B60">
        <f t="shared" ca="1" si="0"/>
        <v>3.4808590382804962E-2</v>
      </c>
      <c r="C60">
        <f t="shared" ca="1" si="1"/>
        <v>0.19460572645161289</v>
      </c>
      <c r="D60" s="9">
        <f ca="1">Assumptions!B$3*(1+B60)^24*(1-C60/12)^24</f>
        <v>700323.15793430596</v>
      </c>
      <c r="E60" s="9">
        <f t="shared" ca="1" si="2"/>
        <v>8403877.8952116705</v>
      </c>
    </row>
    <row r="61" spans="1:5" x14ac:dyDescent="0.35">
      <c r="A61">
        <v>48</v>
      </c>
      <c r="B61">
        <f t="shared" ca="1" si="0"/>
        <v>3.6660384953090756E-2</v>
      </c>
      <c r="C61">
        <f t="shared" ca="1" si="1"/>
        <v>0.27369430747962847</v>
      </c>
      <c r="D61" s="9">
        <f ca="1">Assumptions!B$3*(1+B61)^24*(1-C61/12)^24</f>
        <v>622115.63454995502</v>
      </c>
      <c r="E61" s="9">
        <f t="shared" ca="1" si="2"/>
        <v>7465387.6145994607</v>
      </c>
    </row>
    <row r="62" spans="1:5" x14ac:dyDescent="0.35">
      <c r="A62">
        <v>49</v>
      </c>
      <c r="B62">
        <f t="shared" ca="1" si="0"/>
        <v>3.635619644301849E-2</v>
      </c>
      <c r="C62">
        <f t="shared" ca="1" si="1"/>
        <v>0.23037382501669679</v>
      </c>
      <c r="D62" s="9">
        <f ca="1">Assumptions!B$3*(1+B62)^24*(1-C62/12)^24</f>
        <v>674912.0668233902</v>
      </c>
      <c r="E62" s="9">
        <f t="shared" ca="1" si="2"/>
        <v>8098944.8018806819</v>
      </c>
    </row>
    <row r="63" spans="1:5" x14ac:dyDescent="0.35">
      <c r="A63">
        <v>50</v>
      </c>
      <c r="B63">
        <f t="shared" ca="1" si="0"/>
        <v>1.48442138352402E-2</v>
      </c>
      <c r="C63">
        <f t="shared" ca="1" si="1"/>
        <v>0.24922865336597935</v>
      </c>
      <c r="D63" s="9">
        <f ca="1">Assumptions!B$3*(1+B63)^24*(1-C63/12)^24</f>
        <v>392558.24693149742</v>
      </c>
      <c r="E63" s="9">
        <f t="shared" ca="1" si="2"/>
        <v>4710698.9631779687</v>
      </c>
    </row>
    <row r="64" spans="1:5" x14ac:dyDescent="0.35">
      <c r="A64">
        <v>51</v>
      </c>
      <c r="B64">
        <f t="shared" ca="1" si="0"/>
        <v>3.785396631762037E-2</v>
      </c>
      <c r="C64">
        <f t="shared" ca="1" si="1"/>
        <v>0.22288819312239078</v>
      </c>
      <c r="D64" s="9">
        <f ca="1">Assumptions!B$3*(1+B64)^24*(1-C64/12)^24</f>
        <v>709458.68952080642</v>
      </c>
      <c r="E64" s="9">
        <f t="shared" ca="1" si="2"/>
        <v>8513504.2742496766</v>
      </c>
    </row>
    <row r="65" spans="1:5" x14ac:dyDescent="0.35">
      <c r="A65">
        <v>52</v>
      </c>
      <c r="B65">
        <f t="shared" ca="1" si="0"/>
        <v>3.8502389284279466E-2</v>
      </c>
      <c r="C65">
        <f t="shared" ca="1" si="1"/>
        <v>0.30303118270593521</v>
      </c>
      <c r="D65" s="9">
        <f ca="1">Assumptions!B$3*(1+B65)^24*(1-C65/12)^24</f>
        <v>611316.25748818112</v>
      </c>
      <c r="E65" s="9">
        <f t="shared" ca="1" si="2"/>
        <v>7335795.0898581734</v>
      </c>
    </row>
    <row r="66" spans="1:5" x14ac:dyDescent="0.35">
      <c r="A66">
        <v>53</v>
      </c>
      <c r="B66">
        <f t="shared" ca="1" si="0"/>
        <v>1.6355550509803946E-2</v>
      </c>
      <c r="C66">
        <f t="shared" ca="1" si="1"/>
        <v>0.26206715960829974</v>
      </c>
      <c r="D66" s="9">
        <f ca="1">Assumptions!B$3*(1+B66)^24*(1-C66/12)^24</f>
        <v>396296.99545530579</v>
      </c>
      <c r="E66" s="9">
        <f t="shared" ca="1" si="2"/>
        <v>4755563.9454636695</v>
      </c>
    </row>
    <row r="67" spans="1:5" x14ac:dyDescent="0.35">
      <c r="A67">
        <v>54</v>
      </c>
      <c r="B67">
        <f t="shared" ca="1" si="0"/>
        <v>1.1261103555038291E-2</v>
      </c>
      <c r="C67">
        <f t="shared" ca="1" si="1"/>
        <v>0.39875882595525303</v>
      </c>
      <c r="D67" s="9">
        <f ca="1">Assumptions!B$3*(1+B67)^24*(1-C67/12)^24</f>
        <v>265186.96670065023</v>
      </c>
      <c r="E67" s="9">
        <f t="shared" ca="1" si="2"/>
        <v>3182243.6004078025</v>
      </c>
    </row>
    <row r="68" spans="1:5" x14ac:dyDescent="0.35">
      <c r="A68">
        <v>55</v>
      </c>
      <c r="B68">
        <f t="shared" ca="1" si="0"/>
        <v>3.0855152901191247E-2</v>
      </c>
      <c r="C68">
        <f t="shared" ca="1" si="1"/>
        <v>0.30842196246601156</v>
      </c>
      <c r="D68" s="9">
        <f ca="1">Assumptions!B$3*(1+B68)^24*(1-C68/12)^24</f>
        <v>506319.51636190491</v>
      </c>
      <c r="E68" s="9">
        <f t="shared" ca="1" si="2"/>
        <v>6075834.1963428594</v>
      </c>
    </row>
    <row r="69" spans="1:5" x14ac:dyDescent="0.35">
      <c r="A69">
        <v>56</v>
      </c>
      <c r="B69">
        <f t="shared" ca="1" si="0"/>
        <v>2.9923399238851237E-2</v>
      </c>
      <c r="C69">
        <f t="shared" ca="1" si="1"/>
        <v>0.17352026470483628</v>
      </c>
      <c r="D69" s="9">
        <f ca="1">Assumptions!B$3*(1+B69)^24*(1-C69/12)^24</f>
        <v>652493.19134427432</v>
      </c>
      <c r="E69" s="9">
        <f t="shared" ca="1" si="2"/>
        <v>7829918.2961312924</v>
      </c>
    </row>
    <row r="70" spans="1:5" x14ac:dyDescent="0.35">
      <c r="A70">
        <v>57</v>
      </c>
      <c r="B70">
        <f t="shared" ca="1" si="0"/>
        <v>1.84510089001216E-2</v>
      </c>
      <c r="C70">
        <f t="shared" ca="1" si="1"/>
        <v>0.16987416121797799</v>
      </c>
      <c r="D70" s="9">
        <f ca="1">Assumptions!B$3*(1+B70)^24*(1-C70/12)^24</f>
        <v>502382.08291368838</v>
      </c>
      <c r="E70" s="9">
        <f t="shared" ca="1" si="2"/>
        <v>6028584.9949642606</v>
      </c>
    </row>
    <row r="71" spans="1:5" x14ac:dyDescent="0.35">
      <c r="A71">
        <v>58</v>
      </c>
      <c r="B71">
        <f t="shared" ca="1" si="0"/>
        <v>1.7736462000036139E-2</v>
      </c>
      <c r="C71">
        <f t="shared" ca="1" si="1"/>
        <v>0.22278141927436629</v>
      </c>
      <c r="D71" s="9">
        <f ca="1">Assumptions!B$3*(1+B71)^24*(1-C71/12)^24</f>
        <v>443608.27853563189</v>
      </c>
      <c r="E71" s="9">
        <f t="shared" ca="1" si="2"/>
        <v>5323299.3424275825</v>
      </c>
    </row>
    <row r="72" spans="1:5" x14ac:dyDescent="0.35">
      <c r="A72">
        <v>59</v>
      </c>
      <c r="B72">
        <f t="shared" ca="1" si="0"/>
        <v>3.3750959592493551E-2</v>
      </c>
      <c r="C72">
        <f t="shared" ca="1" si="1"/>
        <v>0.23389881417570746</v>
      </c>
      <c r="D72" s="9">
        <f ca="1">Assumptions!B$3*(1+B72)^24*(1-C72/12)^24</f>
        <v>630797.67458588583</v>
      </c>
      <c r="E72" s="9">
        <f t="shared" ca="1" si="2"/>
        <v>7569572.09503063</v>
      </c>
    </row>
    <row r="73" spans="1:5" x14ac:dyDescent="0.35">
      <c r="A73">
        <v>60</v>
      </c>
      <c r="B73">
        <f t="shared" ca="1" si="0"/>
        <v>3.5429486568809378E-2</v>
      </c>
      <c r="C73">
        <f t="shared" ca="1" si="1"/>
        <v>0.21624096971994358</v>
      </c>
      <c r="D73" s="9">
        <f ca="1">Assumptions!B$3*(1+B73)^24*(1-C73/12)^24</f>
        <v>679878.21696962928</v>
      </c>
      <c r="E73" s="9">
        <f t="shared" ca="1" si="2"/>
        <v>8158538.6036355514</v>
      </c>
    </row>
    <row r="74" spans="1:5" x14ac:dyDescent="0.35">
      <c r="A74">
        <v>61</v>
      </c>
      <c r="B74">
        <f t="shared" ca="1" si="0"/>
        <v>3.5772505113129134E-2</v>
      </c>
      <c r="C74">
        <f t="shared" ca="1" si="1"/>
        <v>0.25934735851390495</v>
      </c>
      <c r="D74" s="9">
        <f ca="1">Assumptions!B$3*(1+B74)^24*(1-C74/12)^24</f>
        <v>627602.68821379286</v>
      </c>
      <c r="E74" s="9">
        <f t="shared" ca="1" si="2"/>
        <v>7531232.2585655143</v>
      </c>
    </row>
    <row r="75" spans="1:5" x14ac:dyDescent="0.35">
      <c r="A75">
        <v>62</v>
      </c>
      <c r="B75">
        <f t="shared" ca="1" si="0"/>
        <v>2.5450292699910882E-2</v>
      </c>
      <c r="C75">
        <f t="shared" ca="1" si="1"/>
        <v>0.29390106719234799</v>
      </c>
      <c r="D75" s="9">
        <f ca="1">Assumptions!B$3*(1+B75)^24*(1-C75/12)^24</f>
        <v>459800.30906438455</v>
      </c>
      <c r="E75" s="9">
        <f t="shared" ca="1" si="2"/>
        <v>5517603.7087726146</v>
      </c>
    </row>
    <row r="76" spans="1:5" x14ac:dyDescent="0.35">
      <c r="A76">
        <v>63</v>
      </c>
      <c r="B76">
        <f t="shared" ca="1" si="0"/>
        <v>1.7136468117594741E-2</v>
      </c>
      <c r="C76">
        <f t="shared" ca="1" si="1"/>
        <v>0.31513258128332411</v>
      </c>
      <c r="D76" s="9">
        <f ca="1">Assumptions!B$3*(1+B76)^24*(1-C76/12)^24</f>
        <v>362074.82279554341</v>
      </c>
      <c r="E76" s="9">
        <f t="shared" ca="1" si="2"/>
        <v>4344897.8735465212</v>
      </c>
    </row>
    <row r="77" spans="1:5" x14ac:dyDescent="0.35">
      <c r="A77">
        <v>64</v>
      </c>
      <c r="B77">
        <f t="shared" ca="1" si="0"/>
        <v>1.7500597864953605E-2</v>
      </c>
      <c r="C77">
        <f t="shared" ca="1" si="1"/>
        <v>0.31120195011668217</v>
      </c>
      <c r="D77" s="9">
        <f ca="1">Assumptions!B$3*(1+B77)^24*(1-C77/12)^24</f>
        <v>368158.3492955892</v>
      </c>
      <c r="E77" s="9">
        <f t="shared" ca="1" si="2"/>
        <v>4417900.1915470706</v>
      </c>
    </row>
    <row r="78" spans="1:5" x14ac:dyDescent="0.35">
      <c r="A78">
        <v>65</v>
      </c>
      <c r="B78">
        <f t="shared" ca="1" si="0"/>
        <v>2.5968717402109168E-2</v>
      </c>
      <c r="C78">
        <f t="shared" ca="1" si="1"/>
        <v>0.2341292381106691</v>
      </c>
      <c r="D78" s="9">
        <f ca="1">Assumptions!B$3*(1+B78)^24*(1-C78/12)^24</f>
        <v>525923.5259412775</v>
      </c>
      <c r="E78" s="9">
        <f t="shared" ca="1" si="2"/>
        <v>6311082.3112953305</v>
      </c>
    </row>
    <row r="79" spans="1:5" x14ac:dyDescent="0.35">
      <c r="A79">
        <v>66</v>
      </c>
      <c r="B79">
        <f t="shared" ca="1" si="0"/>
        <v>2.4367151353718274E-2</v>
      </c>
      <c r="C79">
        <f t="shared" ca="1" si="1"/>
        <v>0.35078677015416188</v>
      </c>
      <c r="D79" s="9">
        <f ca="1">Assumptions!B$3*(1+B79)^24*(1-C79/12)^24</f>
        <v>398822.53421334707</v>
      </c>
      <c r="E79" s="9">
        <f t="shared" ca="1" si="2"/>
        <v>4785870.4105601646</v>
      </c>
    </row>
    <row r="80" spans="1:5" x14ac:dyDescent="0.35">
      <c r="A80">
        <v>67</v>
      </c>
      <c r="B80">
        <f t="shared" ref="B80:B143" ca="1" si="3">_xlfn.NORM.INV(RAND(), $B$4, $B$5)</f>
        <v>1.3158779608563025E-2</v>
      </c>
      <c r="C80">
        <f t="shared" ref="C80:C143" ca="1" si="4">+_xlfn.NORM.INV(RAND(), $B$6, $B$7)</f>
        <v>0.32694954681680694</v>
      </c>
      <c r="D80" s="9">
        <f ca="1">Assumptions!B$3*(1+B80)^24*(1-C80/12)^24</f>
        <v>321670.30367117183</v>
      </c>
      <c r="E80" s="9">
        <f t="shared" ref="E80:E143" ca="1" si="5">D80*12</f>
        <v>3860043.6440540617</v>
      </c>
    </row>
    <row r="81" spans="1:5" x14ac:dyDescent="0.35">
      <c r="A81">
        <v>68</v>
      </c>
      <c r="B81">
        <f t="shared" ca="1" si="3"/>
        <v>4.1813122335997363E-2</v>
      </c>
      <c r="C81">
        <f t="shared" ca="1" si="4"/>
        <v>0.24186141059918706</v>
      </c>
      <c r="D81" s="9">
        <f ca="1">Assumptions!B$3*(1+B81)^24*(1-C81/12)^24</f>
        <v>747837.99856887956</v>
      </c>
      <c r="E81" s="9">
        <f t="shared" ca="1" si="5"/>
        <v>8974055.9828265551</v>
      </c>
    </row>
    <row r="82" spans="1:5" x14ac:dyDescent="0.35">
      <c r="A82">
        <v>69</v>
      </c>
      <c r="B82">
        <f t="shared" ca="1" si="3"/>
        <v>5.6096489961748021E-2</v>
      </c>
      <c r="C82">
        <f t="shared" ca="1" si="4"/>
        <v>0.25780256440282323</v>
      </c>
      <c r="D82" s="9">
        <f ca="1">Assumptions!B$3*(1+B82)^24*(1-C82/12)^24</f>
        <v>1003685.0054787074</v>
      </c>
      <c r="E82" s="9">
        <f t="shared" ca="1" si="5"/>
        <v>12044220.065744489</v>
      </c>
    </row>
    <row r="83" spans="1:5" x14ac:dyDescent="0.35">
      <c r="A83">
        <v>70</v>
      </c>
      <c r="B83">
        <f t="shared" ca="1" si="3"/>
        <v>3.116541382637706E-2</v>
      </c>
      <c r="C83">
        <f t="shared" ca="1" si="4"/>
        <v>0.23644547519609879</v>
      </c>
      <c r="D83" s="9">
        <f ca="1">Assumptions!B$3*(1+B83)^24*(1-C83/12)^24</f>
        <v>590924.17840801878</v>
      </c>
      <c r="E83" s="9">
        <f t="shared" ca="1" si="5"/>
        <v>7091090.1408962253</v>
      </c>
    </row>
    <row r="84" spans="1:5" x14ac:dyDescent="0.35">
      <c r="A84">
        <v>71</v>
      </c>
      <c r="B84">
        <f t="shared" ca="1" si="3"/>
        <v>3.7498271120549501E-2</v>
      </c>
      <c r="C84">
        <f t="shared" ca="1" si="4"/>
        <v>0.30355438955667391</v>
      </c>
      <c r="D84" s="9">
        <f ca="1">Assumptions!B$3*(1+B84)^24*(1-C84/12)^24</f>
        <v>596646.18651496188</v>
      </c>
      <c r="E84" s="9">
        <f t="shared" ca="1" si="5"/>
        <v>7159754.2381795421</v>
      </c>
    </row>
    <row r="85" spans="1:5" x14ac:dyDescent="0.35">
      <c r="A85">
        <v>72</v>
      </c>
      <c r="B85">
        <f t="shared" ca="1" si="3"/>
        <v>1.1437043701924009E-2</v>
      </c>
      <c r="C85">
        <f t="shared" ca="1" si="4"/>
        <v>0.27519707486717804</v>
      </c>
      <c r="D85" s="9">
        <f ca="1">Assumptions!B$3*(1+B85)^24*(1-C85/12)^24</f>
        <v>343393.24379827466</v>
      </c>
      <c r="E85" s="9">
        <f t="shared" ca="1" si="5"/>
        <v>4120718.925579296</v>
      </c>
    </row>
    <row r="86" spans="1:5" x14ac:dyDescent="0.35">
      <c r="A86">
        <v>73</v>
      </c>
      <c r="B86">
        <f t="shared" ca="1" si="3"/>
        <v>3.5196463733494013E-2</v>
      </c>
      <c r="C86">
        <f t="shared" ca="1" si="4"/>
        <v>0.29726313018168021</v>
      </c>
      <c r="D86" s="9">
        <f ca="1">Assumptions!B$3*(1+B86)^24*(1-C86/12)^24</f>
        <v>573021.94364103884</v>
      </c>
      <c r="E86" s="9">
        <f t="shared" ca="1" si="5"/>
        <v>6876263.3236924661</v>
      </c>
    </row>
    <row r="87" spans="1:5" x14ac:dyDescent="0.35">
      <c r="A87">
        <v>74</v>
      </c>
      <c r="B87">
        <f t="shared" ca="1" si="3"/>
        <v>4.2175833743388784E-2</v>
      </c>
      <c r="C87">
        <f t="shared" ca="1" si="4"/>
        <v>0.20896701921271893</v>
      </c>
      <c r="D87" s="9">
        <f ca="1">Assumptions!B$3*(1+B87)^24*(1-C87/12)^24</f>
        <v>806407.26977325592</v>
      </c>
      <c r="E87" s="9">
        <f t="shared" ca="1" si="5"/>
        <v>9676887.2372790705</v>
      </c>
    </row>
    <row r="88" spans="1:5" x14ac:dyDescent="0.35">
      <c r="A88">
        <v>75</v>
      </c>
      <c r="B88">
        <f t="shared" ca="1" si="3"/>
        <v>3.5982027065130151E-2</v>
      </c>
      <c r="C88">
        <f t="shared" ca="1" si="4"/>
        <v>0.27824458407238484</v>
      </c>
      <c r="D88" s="9">
        <f ca="1">Assumptions!B$3*(1+B88)^24*(1-C88/12)^24</f>
        <v>606740.52561129048</v>
      </c>
      <c r="E88" s="9">
        <f t="shared" ca="1" si="5"/>
        <v>7280886.3073354857</v>
      </c>
    </row>
    <row r="89" spans="1:5" x14ac:dyDescent="0.35">
      <c r="A89">
        <v>76</v>
      </c>
      <c r="B89">
        <f t="shared" ca="1" si="3"/>
        <v>2.4757428077090297E-2</v>
      </c>
      <c r="C89">
        <f t="shared" ca="1" si="4"/>
        <v>0.15971689194845046</v>
      </c>
      <c r="D89" s="9">
        <f ca="1">Assumptions!B$3*(1+B89)^24*(1-C89/12)^24</f>
        <v>594732.7521451005</v>
      </c>
      <c r="E89" s="9">
        <f t="shared" ca="1" si="5"/>
        <v>7136793.0257412065</v>
      </c>
    </row>
    <row r="90" spans="1:5" x14ac:dyDescent="0.35">
      <c r="A90">
        <v>77</v>
      </c>
      <c r="B90">
        <f t="shared" ca="1" si="3"/>
        <v>3.4364106054487129E-2</v>
      </c>
      <c r="C90">
        <f t="shared" ca="1" si="4"/>
        <v>0.21343853576614438</v>
      </c>
      <c r="D90" s="9">
        <f ca="1">Assumptions!B$3*(1+B90)^24*(1-C90/12)^24</f>
        <v>667082.54297852586</v>
      </c>
      <c r="E90" s="9">
        <f t="shared" ca="1" si="5"/>
        <v>8004990.5157423103</v>
      </c>
    </row>
    <row r="91" spans="1:5" x14ac:dyDescent="0.35">
      <c r="A91">
        <v>78</v>
      </c>
      <c r="B91">
        <f t="shared" ca="1" si="3"/>
        <v>3.9553508467851321E-2</v>
      </c>
      <c r="C91">
        <f t="shared" ca="1" si="4"/>
        <v>0.22721397117698711</v>
      </c>
      <c r="D91" s="9">
        <f ca="1">Assumptions!B$3*(1+B91)^24*(1-C91/12)^24</f>
        <v>731395.61976136407</v>
      </c>
      <c r="E91" s="9">
        <f t="shared" ca="1" si="5"/>
        <v>8776747.4371363688</v>
      </c>
    </row>
    <row r="92" spans="1:5" x14ac:dyDescent="0.35">
      <c r="A92">
        <v>79</v>
      </c>
      <c r="B92">
        <f t="shared" ca="1" si="3"/>
        <v>4.0413572598186828E-2</v>
      </c>
      <c r="C92">
        <f t="shared" ca="1" si="4"/>
        <v>0.24898561841432265</v>
      </c>
      <c r="D92" s="9">
        <f ca="1">Assumptions!B$3*(1+B92)^24*(1-C92/12)^24</f>
        <v>713639.33260530559</v>
      </c>
      <c r="E92" s="9">
        <f t="shared" ca="1" si="5"/>
        <v>8563671.9912636671</v>
      </c>
    </row>
    <row r="93" spans="1:5" x14ac:dyDescent="0.35">
      <c r="A93">
        <v>80</v>
      </c>
      <c r="B93">
        <f t="shared" ca="1" si="3"/>
        <v>2.9849051131331784E-2</v>
      </c>
      <c r="C93">
        <f t="shared" ca="1" si="4"/>
        <v>0.22458060671907959</v>
      </c>
      <c r="D93" s="9">
        <f ca="1">Assumptions!B$3*(1+B93)^24*(1-C93/12)^24</f>
        <v>587117.38911246951</v>
      </c>
      <c r="E93" s="9">
        <f t="shared" ca="1" si="5"/>
        <v>7045408.6693496341</v>
      </c>
    </row>
    <row r="94" spans="1:5" x14ac:dyDescent="0.35">
      <c r="A94">
        <v>81</v>
      </c>
      <c r="B94">
        <f t="shared" ca="1" si="3"/>
        <v>2.4193963347464799E-2</v>
      </c>
      <c r="C94">
        <f t="shared" ca="1" si="4"/>
        <v>0.18161531117239466</v>
      </c>
      <c r="D94" s="9">
        <f ca="1">Assumptions!B$3*(1+B94)^24*(1-C94/12)^24</f>
        <v>561427.89538143028</v>
      </c>
      <c r="E94" s="9">
        <f t="shared" ca="1" si="5"/>
        <v>6737134.7445771638</v>
      </c>
    </row>
    <row r="95" spans="1:5" x14ac:dyDescent="0.35">
      <c r="A95">
        <v>82</v>
      </c>
      <c r="B95">
        <f t="shared" ca="1" si="3"/>
        <v>4.7639645848628065E-2</v>
      </c>
      <c r="C95">
        <f t="shared" ca="1" si="4"/>
        <v>0.23933926273415684</v>
      </c>
      <c r="D95" s="9">
        <f ca="1">Assumptions!B$3*(1+B95)^24*(1-C95/12)^24</f>
        <v>859356.76850078662</v>
      </c>
      <c r="E95" s="9">
        <f t="shared" ca="1" si="5"/>
        <v>10312281.222009439</v>
      </c>
    </row>
    <row r="96" spans="1:5" x14ac:dyDescent="0.35">
      <c r="A96">
        <v>83</v>
      </c>
      <c r="B96">
        <f t="shared" ca="1" si="3"/>
        <v>1.6844302473229336E-2</v>
      </c>
      <c r="C96">
        <f t="shared" ca="1" si="4"/>
        <v>0.30605865186360892</v>
      </c>
      <c r="D96" s="9">
        <f ca="1">Assumptions!B$3*(1+B96)^24*(1-C96/12)^24</f>
        <v>366348.88409675832</v>
      </c>
      <c r="E96" s="9">
        <f t="shared" ca="1" si="5"/>
        <v>4396186.6091610994</v>
      </c>
    </row>
    <row r="97" spans="1:5" x14ac:dyDescent="0.35">
      <c r="A97">
        <v>84</v>
      </c>
      <c r="B97">
        <f t="shared" ca="1" si="3"/>
        <v>2.4556775316009718E-2</v>
      </c>
      <c r="C97">
        <f t="shared" ca="1" si="4"/>
        <v>0.27159065959561257</v>
      </c>
      <c r="D97" s="9">
        <f ca="1">Assumptions!B$3*(1+B97)^24*(1-C97/12)^24</f>
        <v>471334.73630242958</v>
      </c>
      <c r="E97" s="9">
        <f t="shared" ca="1" si="5"/>
        <v>5656016.8356291549</v>
      </c>
    </row>
    <row r="98" spans="1:5" x14ac:dyDescent="0.35">
      <c r="A98">
        <v>85</v>
      </c>
      <c r="B98">
        <f t="shared" ca="1" si="3"/>
        <v>1.503248325927746E-2</v>
      </c>
      <c r="C98">
        <f t="shared" ca="1" si="4"/>
        <v>0.25715275398779092</v>
      </c>
      <c r="D98" s="9">
        <f ca="1">Assumptions!B$3*(1+B98)^24*(1-C98/12)^24</f>
        <v>387977.40109402366</v>
      </c>
      <c r="E98" s="9">
        <f t="shared" ca="1" si="5"/>
        <v>4655728.8131282842</v>
      </c>
    </row>
    <row r="99" spans="1:5" x14ac:dyDescent="0.35">
      <c r="A99">
        <v>86</v>
      </c>
      <c r="B99">
        <f t="shared" ca="1" si="3"/>
        <v>3.8357462122407204E-2</v>
      </c>
      <c r="C99">
        <f t="shared" ca="1" si="4"/>
        <v>0.22085453606809988</v>
      </c>
      <c r="D99" s="9">
        <f ca="1">Assumptions!B$3*(1+B99)^24*(1-C99/12)^24</f>
        <v>720745.82130779664</v>
      </c>
      <c r="E99" s="9">
        <f t="shared" ca="1" si="5"/>
        <v>8648949.8556935601</v>
      </c>
    </row>
    <row r="100" spans="1:5" x14ac:dyDescent="0.35">
      <c r="A100">
        <v>87</v>
      </c>
      <c r="B100">
        <f t="shared" ca="1" si="3"/>
        <v>1.9498189223019526E-2</v>
      </c>
      <c r="C100">
        <f t="shared" ca="1" si="4"/>
        <v>0.1440279054578737</v>
      </c>
      <c r="D100" s="9">
        <f ca="1">Assumptions!B$3*(1+B100)^24*(1-C100/12)^24</f>
        <v>542616.53718824824</v>
      </c>
      <c r="E100" s="9">
        <f t="shared" ca="1" si="5"/>
        <v>6511398.4462589789</v>
      </c>
    </row>
    <row r="101" spans="1:5" x14ac:dyDescent="0.35">
      <c r="A101">
        <v>88</v>
      </c>
      <c r="B101">
        <f t="shared" ca="1" si="3"/>
        <v>1.6128867519831398E-2</v>
      </c>
      <c r="C101">
        <f t="shared" ca="1" si="4"/>
        <v>0.22883167605821828</v>
      </c>
      <c r="D101" s="9">
        <f ca="1">Assumptions!B$3*(1+B101)^24*(1-C101/12)^24</f>
        <v>421858.30441761238</v>
      </c>
      <c r="E101" s="9">
        <f t="shared" ca="1" si="5"/>
        <v>5062299.6530113481</v>
      </c>
    </row>
    <row r="102" spans="1:5" x14ac:dyDescent="0.35">
      <c r="A102">
        <v>89</v>
      </c>
      <c r="B102">
        <f t="shared" ca="1" si="3"/>
        <v>4.326436481078761E-2</v>
      </c>
      <c r="C102">
        <f t="shared" ca="1" si="4"/>
        <v>0.21849365638409207</v>
      </c>
      <c r="D102" s="9">
        <f ca="1">Assumptions!B$3*(1+B102)^24*(1-C102/12)^24</f>
        <v>810980.93723649974</v>
      </c>
      <c r="E102" s="9">
        <f t="shared" ca="1" si="5"/>
        <v>9731771.2468379959</v>
      </c>
    </row>
    <row r="103" spans="1:5" x14ac:dyDescent="0.35">
      <c r="A103">
        <v>90</v>
      </c>
      <c r="B103">
        <f t="shared" ca="1" si="3"/>
        <v>2.0830292656573449E-2</v>
      </c>
      <c r="C103">
        <f t="shared" ca="1" si="4"/>
        <v>0.22609990881090405</v>
      </c>
      <c r="D103" s="9">
        <f ca="1">Assumptions!B$3*(1+B103)^24*(1-C103/12)^24</f>
        <v>473913.91443829506</v>
      </c>
      <c r="E103" s="9">
        <f t="shared" ca="1" si="5"/>
        <v>5686966.9732595403</v>
      </c>
    </row>
    <row r="104" spans="1:5" x14ac:dyDescent="0.35">
      <c r="A104">
        <v>91</v>
      </c>
      <c r="B104">
        <f t="shared" ca="1" si="3"/>
        <v>2.5082129500361074E-2</v>
      </c>
      <c r="C104">
        <f t="shared" ca="1" si="4"/>
        <v>0.24152220519193601</v>
      </c>
      <c r="D104" s="9">
        <f ca="1">Assumptions!B$3*(1+B104)^24*(1-C104/12)^24</f>
        <v>507411.5540615113</v>
      </c>
      <c r="E104" s="9">
        <f t="shared" ca="1" si="5"/>
        <v>6088938.6487381356</v>
      </c>
    </row>
    <row r="105" spans="1:5" x14ac:dyDescent="0.35">
      <c r="A105">
        <v>92</v>
      </c>
      <c r="B105">
        <f t="shared" ca="1" si="3"/>
        <v>3.5308857689337406E-2</v>
      </c>
      <c r="C105">
        <f t="shared" ca="1" si="4"/>
        <v>0.25968386539174682</v>
      </c>
      <c r="D105" s="9">
        <f ca="1">Assumptions!B$3*(1+B105)^24*(1-C105/12)^24</f>
        <v>620467.84525244252</v>
      </c>
      <c r="E105" s="9">
        <f t="shared" ca="1" si="5"/>
        <v>7445614.1430293098</v>
      </c>
    </row>
    <row r="106" spans="1:5" x14ac:dyDescent="0.35">
      <c r="A106">
        <v>93</v>
      </c>
      <c r="B106">
        <f t="shared" ca="1" si="3"/>
        <v>4.0535582982501948E-2</v>
      </c>
      <c r="C106">
        <f t="shared" ca="1" si="4"/>
        <v>0.24695335560139708</v>
      </c>
      <c r="D106" s="9">
        <f ca="1">Assumptions!B$3*(1+B106)^24*(1-C106/12)^24</f>
        <v>718626.91302781529</v>
      </c>
      <c r="E106" s="9">
        <f t="shared" ca="1" si="5"/>
        <v>8623522.9563337825</v>
      </c>
    </row>
    <row r="107" spans="1:5" x14ac:dyDescent="0.35">
      <c r="A107">
        <v>94</v>
      </c>
      <c r="B107">
        <f t="shared" ca="1" si="3"/>
        <v>3.911707126598922E-2</v>
      </c>
      <c r="C107">
        <f t="shared" ca="1" si="4"/>
        <v>0.24739695792447849</v>
      </c>
      <c r="D107" s="9">
        <f ca="1">Assumptions!B$3*(1+B107)^24*(1-C107/12)^24</f>
        <v>694850.07591663103</v>
      </c>
      <c r="E107" s="9">
        <f t="shared" ca="1" si="5"/>
        <v>8338200.9109995719</v>
      </c>
    </row>
    <row r="108" spans="1:5" x14ac:dyDescent="0.35">
      <c r="A108">
        <v>95</v>
      </c>
      <c r="B108">
        <f t="shared" ca="1" si="3"/>
        <v>2.0835873504212545E-2</v>
      </c>
      <c r="C108">
        <f t="shared" ca="1" si="4"/>
        <v>0.26600627788964665</v>
      </c>
      <c r="D108" s="9">
        <f ca="1">Assumptions!B$3*(1+B108)^24*(1-C108/12)^24</f>
        <v>436886.44412806316</v>
      </c>
      <c r="E108" s="9">
        <f t="shared" ca="1" si="5"/>
        <v>5242637.3295367584</v>
      </c>
    </row>
    <row r="109" spans="1:5" x14ac:dyDescent="0.35">
      <c r="A109">
        <v>96</v>
      </c>
      <c r="B109">
        <f t="shared" ca="1" si="3"/>
        <v>4.6641599115121585E-2</v>
      </c>
      <c r="C109">
        <f t="shared" ca="1" si="4"/>
        <v>0.32355617970388795</v>
      </c>
      <c r="D109" s="9">
        <f ca="1">Assumptions!B$3*(1+B109)^24*(1-C109/12)^24</f>
        <v>706857.77296450525</v>
      </c>
      <c r="E109" s="9">
        <f t="shared" ca="1" si="5"/>
        <v>8482293.275574062</v>
      </c>
    </row>
    <row r="110" spans="1:5" x14ac:dyDescent="0.35">
      <c r="A110">
        <v>97</v>
      </c>
      <c r="B110">
        <f t="shared" ca="1" si="3"/>
        <v>3.1893710470234066E-2</v>
      </c>
      <c r="C110">
        <f t="shared" ca="1" si="4"/>
        <v>0.30908544231545754</v>
      </c>
      <c r="D110" s="9">
        <f ca="1">Assumptions!B$3*(1+B110)^24*(1-C110/12)^24</f>
        <v>517998.87736295263</v>
      </c>
      <c r="E110" s="9">
        <f t="shared" ca="1" si="5"/>
        <v>6215986.5283554317</v>
      </c>
    </row>
    <row r="111" spans="1:5" x14ac:dyDescent="0.35">
      <c r="A111">
        <v>98</v>
      </c>
      <c r="B111">
        <f t="shared" ca="1" si="3"/>
        <v>2.2552827402654144E-2</v>
      </c>
      <c r="C111">
        <f t="shared" ca="1" si="4"/>
        <v>0.25688620070317575</v>
      </c>
      <c r="D111" s="9">
        <f ca="1">Assumptions!B$3*(1+B111)^24*(1-C111/12)^24</f>
        <v>463428.28328281012</v>
      </c>
      <c r="E111" s="9">
        <f t="shared" ca="1" si="5"/>
        <v>5561139.3993937215</v>
      </c>
    </row>
    <row r="112" spans="1:5" x14ac:dyDescent="0.35">
      <c r="A112">
        <v>99</v>
      </c>
      <c r="B112">
        <f t="shared" ca="1" si="3"/>
        <v>3.5751799459179653E-2</v>
      </c>
      <c r="C112">
        <f t="shared" ca="1" si="4"/>
        <v>0.28413119328217662</v>
      </c>
      <c r="D112" s="9">
        <f ca="1">Assumptions!B$3*(1+B112)^24*(1-C112/12)^24</f>
        <v>596280.60747560405</v>
      </c>
      <c r="E112" s="9">
        <f t="shared" ca="1" si="5"/>
        <v>7155367.289707249</v>
      </c>
    </row>
    <row r="113" spans="1:5" x14ac:dyDescent="0.35">
      <c r="A113">
        <v>100</v>
      </c>
      <c r="B113">
        <f t="shared" ca="1" si="3"/>
        <v>3.0579965148662801E-2</v>
      </c>
      <c r="C113">
        <f t="shared" ca="1" si="4"/>
        <v>0.23793936501939031</v>
      </c>
      <c r="D113" s="9">
        <f ca="1">Assumptions!B$3*(1+B113)^24*(1-C113/12)^24</f>
        <v>581150.47342406434</v>
      </c>
      <c r="E113" s="9">
        <f t="shared" ca="1" si="5"/>
        <v>6973805.6810887717</v>
      </c>
    </row>
    <row r="114" spans="1:5" x14ac:dyDescent="0.35">
      <c r="A114">
        <v>101</v>
      </c>
      <c r="B114">
        <f t="shared" ca="1" si="3"/>
        <v>3.5199765195536963E-2</v>
      </c>
      <c r="C114">
        <f t="shared" ca="1" si="4"/>
        <v>0.22389187696840593</v>
      </c>
      <c r="D114" s="9">
        <f ca="1">Assumptions!B$3*(1+B114)^24*(1-C114/12)^24</f>
        <v>665807.61366100062</v>
      </c>
      <c r="E114" s="9">
        <f t="shared" ca="1" si="5"/>
        <v>7989691.3639320079</v>
      </c>
    </row>
    <row r="115" spans="1:5" x14ac:dyDescent="0.35">
      <c r="A115">
        <v>102</v>
      </c>
      <c r="B115">
        <f t="shared" ca="1" si="3"/>
        <v>3.3236827573106885E-2</v>
      </c>
      <c r="C115">
        <f t="shared" ca="1" si="4"/>
        <v>0.2869898278342396</v>
      </c>
      <c r="D115" s="9">
        <f ca="1">Assumptions!B$3*(1+B115)^24*(1-C115/12)^24</f>
        <v>559200.45890237647</v>
      </c>
      <c r="E115" s="9">
        <f t="shared" ca="1" si="5"/>
        <v>6710405.5068285177</v>
      </c>
    </row>
    <row r="116" spans="1:5" x14ac:dyDescent="0.35">
      <c r="A116">
        <v>103</v>
      </c>
      <c r="B116">
        <f t="shared" ca="1" si="3"/>
        <v>3.5242691308629642E-2</v>
      </c>
      <c r="C116">
        <f t="shared" ca="1" si="4"/>
        <v>0.30671280842412679</v>
      </c>
      <c r="D116" s="9">
        <f ca="1">Assumptions!B$3*(1+B116)^24*(1-C116/12)^24</f>
        <v>562622.26918386738</v>
      </c>
      <c r="E116" s="9">
        <f t="shared" ca="1" si="5"/>
        <v>6751467.2302064085</v>
      </c>
    </row>
    <row r="117" spans="1:5" x14ac:dyDescent="0.35">
      <c r="A117">
        <v>104</v>
      </c>
      <c r="B117">
        <f t="shared" ca="1" si="3"/>
        <v>5.8276431395440066E-2</v>
      </c>
      <c r="C117">
        <f t="shared" ca="1" si="4"/>
        <v>0.33934155293748086</v>
      </c>
      <c r="D117" s="9">
        <f ca="1">Assumptions!B$3*(1+B117)^24*(1-C117/12)^24</f>
        <v>892192.86052346823</v>
      </c>
      <c r="E117" s="9">
        <f t="shared" ca="1" si="5"/>
        <v>10706314.326281618</v>
      </c>
    </row>
    <row r="118" spans="1:5" x14ac:dyDescent="0.35">
      <c r="A118">
        <v>105</v>
      </c>
      <c r="B118">
        <f t="shared" ca="1" si="3"/>
        <v>2.2796399125032504E-2</v>
      </c>
      <c r="C118">
        <f t="shared" ca="1" si="4"/>
        <v>0.20469301140269128</v>
      </c>
      <c r="D118" s="9">
        <f ca="1">Assumptions!B$3*(1+B118)^24*(1-C118/12)^24</f>
        <v>518428.06650497776</v>
      </c>
      <c r="E118" s="9">
        <f t="shared" ca="1" si="5"/>
        <v>6221136.7980597336</v>
      </c>
    </row>
    <row r="119" spans="1:5" x14ac:dyDescent="0.35">
      <c r="A119">
        <v>106</v>
      </c>
      <c r="B119">
        <f t="shared" ca="1" si="3"/>
        <v>2.3303581716065176E-2</v>
      </c>
      <c r="C119">
        <f t="shared" ca="1" si="4"/>
        <v>0.25065069544836566</v>
      </c>
      <c r="D119" s="9">
        <f ca="1">Assumptions!B$3*(1+B119)^24*(1-C119/12)^24</f>
        <v>477711.17973105726</v>
      </c>
      <c r="E119" s="9">
        <f t="shared" ca="1" si="5"/>
        <v>5732534.1567726871</v>
      </c>
    </row>
    <row r="120" spans="1:5" x14ac:dyDescent="0.35">
      <c r="A120">
        <v>107</v>
      </c>
      <c r="B120">
        <f t="shared" ca="1" si="3"/>
        <v>3.1654884257735244E-2</v>
      </c>
      <c r="C120">
        <f t="shared" ca="1" si="4"/>
        <v>0.33060587019470561</v>
      </c>
      <c r="D120" s="9">
        <f ca="1">Assumptions!B$3*(1+B120)^24*(1-C120/12)^24</f>
        <v>492846.7513749653</v>
      </c>
      <c r="E120" s="9">
        <f t="shared" ca="1" si="5"/>
        <v>5914161.0164995836</v>
      </c>
    </row>
    <row r="121" spans="1:5" x14ac:dyDescent="0.35">
      <c r="A121">
        <v>108</v>
      </c>
      <c r="B121">
        <f t="shared" ca="1" si="3"/>
        <v>2.9800977727027111E-2</v>
      </c>
      <c r="C121">
        <f t="shared" ca="1" si="4"/>
        <v>0.28396392443552931</v>
      </c>
      <c r="D121" s="9">
        <f ca="1">Assumptions!B$3*(1+B121)^24*(1-C121/12)^24</f>
        <v>519447.87692406267</v>
      </c>
      <c r="E121" s="9">
        <f t="shared" ca="1" si="5"/>
        <v>6233374.5230887523</v>
      </c>
    </row>
    <row r="122" spans="1:5" x14ac:dyDescent="0.35">
      <c r="A122">
        <v>109</v>
      </c>
      <c r="B122">
        <f t="shared" ca="1" si="3"/>
        <v>3.0601521404075935E-2</v>
      </c>
      <c r="C122">
        <f t="shared" ca="1" si="4"/>
        <v>0.20315162466118139</v>
      </c>
      <c r="D122" s="9">
        <f ca="1">Assumptions!B$3*(1+B122)^24*(1-C122/12)^24</f>
        <v>624149.48200179974</v>
      </c>
      <c r="E122" s="9">
        <f t="shared" ca="1" si="5"/>
        <v>7489793.7840215974</v>
      </c>
    </row>
    <row r="123" spans="1:5" x14ac:dyDescent="0.35">
      <c r="A123">
        <v>110</v>
      </c>
      <c r="B123">
        <f t="shared" ca="1" si="3"/>
        <v>4.3777482054396667E-2</v>
      </c>
      <c r="C123">
        <f t="shared" ca="1" si="4"/>
        <v>0.23474883952038678</v>
      </c>
      <c r="D123" s="9">
        <f ca="1">Assumptions!B$3*(1+B123)^24*(1-C123/12)^24</f>
        <v>793861.97556423617</v>
      </c>
      <c r="E123" s="9">
        <f t="shared" ca="1" si="5"/>
        <v>9526343.7067708336</v>
      </c>
    </row>
    <row r="124" spans="1:5" x14ac:dyDescent="0.35">
      <c r="A124">
        <v>111</v>
      </c>
      <c r="B124">
        <f t="shared" ca="1" si="3"/>
        <v>2.1132533573764337E-2</v>
      </c>
      <c r="C124">
        <f t="shared" ca="1" si="4"/>
        <v>0.34876230412431974</v>
      </c>
      <c r="D124" s="9">
        <f ca="1">Assumptions!B$3*(1+B124)^24*(1-C124/12)^24</f>
        <v>371215.57152843889</v>
      </c>
      <c r="E124" s="9">
        <f t="shared" ca="1" si="5"/>
        <v>4454586.8583412664</v>
      </c>
    </row>
    <row r="125" spans="1:5" x14ac:dyDescent="0.35">
      <c r="A125">
        <v>112</v>
      </c>
      <c r="B125">
        <f t="shared" ca="1" si="3"/>
        <v>4.9921145328669286E-2</v>
      </c>
      <c r="C125">
        <f t="shared" ca="1" si="4"/>
        <v>0.28422867996629719</v>
      </c>
      <c r="D125" s="9">
        <f ca="1">Assumptions!B$3*(1+B125)^24*(1-C125/12)^24</f>
        <v>826014.40072987217</v>
      </c>
      <c r="E125" s="9">
        <f t="shared" ca="1" si="5"/>
        <v>9912172.8087584656</v>
      </c>
    </row>
    <row r="126" spans="1:5" x14ac:dyDescent="0.35">
      <c r="A126">
        <v>113</v>
      </c>
      <c r="B126">
        <f t="shared" ca="1" si="3"/>
        <v>1.3151119122547891E-2</v>
      </c>
      <c r="C126">
        <f t="shared" ca="1" si="4"/>
        <v>0.32354903618444597</v>
      </c>
      <c r="D126" s="9">
        <f ca="1">Assumptions!B$3*(1+B126)^24*(1-C126/12)^24</f>
        <v>323868.03946239519</v>
      </c>
      <c r="E126" s="9">
        <f t="shared" ca="1" si="5"/>
        <v>3886416.473548742</v>
      </c>
    </row>
    <row r="127" spans="1:5" x14ac:dyDescent="0.35">
      <c r="A127">
        <v>114</v>
      </c>
      <c r="B127">
        <f t="shared" ca="1" si="3"/>
        <v>3.0298553780740842E-2</v>
      </c>
      <c r="C127">
        <f t="shared" ca="1" si="4"/>
        <v>0.32044219290683967</v>
      </c>
      <c r="D127" s="9">
        <f ca="1">Assumptions!B$3*(1+B127)^24*(1-C127/12)^24</f>
        <v>487611.28789139312</v>
      </c>
      <c r="E127" s="9">
        <f t="shared" ca="1" si="5"/>
        <v>5851335.4546967177</v>
      </c>
    </row>
    <row r="128" spans="1:5" x14ac:dyDescent="0.35">
      <c r="A128">
        <v>115</v>
      </c>
      <c r="B128">
        <f t="shared" ca="1" si="3"/>
        <v>2.6374806930590078E-2</v>
      </c>
      <c r="C128">
        <f t="shared" ca="1" si="4"/>
        <v>0.21538850915935515</v>
      </c>
      <c r="D128" s="9">
        <f ca="1">Assumptions!B$3*(1+B128)^24*(1-C128/12)^24</f>
        <v>551614.96989798837</v>
      </c>
      <c r="E128" s="9">
        <f t="shared" ca="1" si="5"/>
        <v>6619379.6387758609</v>
      </c>
    </row>
    <row r="129" spans="1:5" x14ac:dyDescent="0.35">
      <c r="A129">
        <v>116</v>
      </c>
      <c r="B129">
        <f t="shared" ca="1" si="3"/>
        <v>2.0374166464460143E-2</v>
      </c>
      <c r="C129">
        <f t="shared" ca="1" si="4"/>
        <v>0.31603749227708455</v>
      </c>
      <c r="D129" s="9">
        <f ca="1">Assumptions!B$3*(1+B129)^24*(1-C129/12)^24</f>
        <v>390046.69282585662</v>
      </c>
      <c r="E129" s="9">
        <f t="shared" ca="1" si="5"/>
        <v>4680560.3139102794</v>
      </c>
    </row>
    <row r="130" spans="1:5" x14ac:dyDescent="0.35">
      <c r="A130">
        <v>117</v>
      </c>
      <c r="B130">
        <f t="shared" ca="1" si="3"/>
        <v>9.855990606262445E-3</v>
      </c>
      <c r="C130">
        <f t="shared" ca="1" si="4"/>
        <v>0.25204673330443395</v>
      </c>
      <c r="D130" s="9">
        <f ca="1">Assumptions!B$3*(1+B130)^24*(1-C130/12)^24</f>
        <v>346773.35923450795</v>
      </c>
      <c r="E130" s="9">
        <f t="shared" ca="1" si="5"/>
        <v>4161280.3108140957</v>
      </c>
    </row>
    <row r="131" spans="1:5" x14ac:dyDescent="0.35">
      <c r="A131">
        <v>118</v>
      </c>
      <c r="B131">
        <f t="shared" ca="1" si="3"/>
        <v>3.5078409671611938E-2</v>
      </c>
      <c r="C131">
        <f t="shared" ca="1" si="4"/>
        <v>0.17217520053762816</v>
      </c>
      <c r="D131" s="9">
        <f ca="1">Assumptions!B$3*(1+B131)^24*(1-C131/12)^24</f>
        <v>737566.46036983037</v>
      </c>
      <c r="E131" s="9">
        <f t="shared" ca="1" si="5"/>
        <v>8850797.524437964</v>
      </c>
    </row>
    <row r="132" spans="1:5" x14ac:dyDescent="0.35">
      <c r="A132">
        <v>119</v>
      </c>
      <c r="B132">
        <f t="shared" ca="1" si="3"/>
        <v>2.9875475976602422E-2</v>
      </c>
      <c r="C132">
        <f t="shared" ca="1" si="4"/>
        <v>0.29253702596525893</v>
      </c>
      <c r="D132" s="9">
        <f ca="1">Assumptions!B$3*(1+B132)^24*(1-C132/12)^24</f>
        <v>511288.70907787711</v>
      </c>
      <c r="E132" s="9">
        <f t="shared" ca="1" si="5"/>
        <v>6135464.5089345258</v>
      </c>
    </row>
    <row r="133" spans="1:5" x14ac:dyDescent="0.35">
      <c r="A133">
        <v>120</v>
      </c>
      <c r="B133">
        <f t="shared" ca="1" si="3"/>
        <v>3.1127482495543923E-2</v>
      </c>
      <c r="C133">
        <f t="shared" ca="1" si="4"/>
        <v>0.21746918055177547</v>
      </c>
      <c r="D133" s="9">
        <f ca="1">Assumptions!B$3*(1+B133)^24*(1-C133/12)^24</f>
        <v>613689.49884959834</v>
      </c>
      <c r="E133" s="9">
        <f t="shared" ca="1" si="5"/>
        <v>7364273.9861951806</v>
      </c>
    </row>
    <row r="134" spans="1:5" x14ac:dyDescent="0.35">
      <c r="A134">
        <v>121</v>
      </c>
      <c r="B134">
        <f t="shared" ca="1" si="3"/>
        <v>2.4909363660872399E-2</v>
      </c>
      <c r="C134">
        <f t="shared" ca="1" si="4"/>
        <v>0.26161317750330626</v>
      </c>
      <c r="D134" s="9">
        <f ca="1">Assumptions!B$3*(1+B134)^24*(1-C134/12)^24</f>
        <v>485041.66127560753</v>
      </c>
      <c r="E134" s="9">
        <f t="shared" ca="1" si="5"/>
        <v>5820499.9353072904</v>
      </c>
    </row>
    <row r="135" spans="1:5" x14ac:dyDescent="0.35">
      <c r="A135">
        <v>122</v>
      </c>
      <c r="B135">
        <f t="shared" ca="1" si="3"/>
        <v>3.4118444924274002E-2</v>
      </c>
      <c r="C135">
        <f t="shared" ca="1" si="4"/>
        <v>0.3240387090100077</v>
      </c>
      <c r="D135" s="9">
        <f ca="1">Assumptions!B$3*(1+B135)^24*(1-C135/12)^24</f>
        <v>528976.42352501524</v>
      </c>
      <c r="E135" s="9">
        <f t="shared" ca="1" si="5"/>
        <v>6347717.0823001824</v>
      </c>
    </row>
    <row r="136" spans="1:5" x14ac:dyDescent="0.35">
      <c r="A136">
        <v>123</v>
      </c>
      <c r="B136">
        <f t="shared" ca="1" si="3"/>
        <v>1.9804078136587466E-2</v>
      </c>
      <c r="C136">
        <f t="shared" ca="1" si="4"/>
        <v>0.30111514925344873</v>
      </c>
      <c r="D136" s="9">
        <f ca="1">Assumptions!B$3*(1+B136)^24*(1-C136/12)^24</f>
        <v>396821.34960370266</v>
      </c>
      <c r="E136" s="9">
        <f t="shared" ca="1" si="5"/>
        <v>4761856.1952444315</v>
      </c>
    </row>
    <row r="137" spans="1:5" x14ac:dyDescent="0.35">
      <c r="A137">
        <v>124</v>
      </c>
      <c r="B137">
        <f t="shared" ca="1" si="3"/>
        <v>1.9356937728406076E-2</v>
      </c>
      <c r="C137">
        <f t="shared" ca="1" si="4"/>
        <v>0.19674994866680146</v>
      </c>
      <c r="D137" s="9">
        <f ca="1">Assumptions!B$3*(1+B137)^24*(1-C137/12)^24</f>
        <v>485954.21381059318</v>
      </c>
      <c r="E137" s="9">
        <f t="shared" ca="1" si="5"/>
        <v>5831450.5657271184</v>
      </c>
    </row>
    <row r="138" spans="1:5" x14ac:dyDescent="0.35">
      <c r="A138">
        <v>125</v>
      </c>
      <c r="B138">
        <f t="shared" ca="1" si="3"/>
        <v>3.5332168854832598E-2</v>
      </c>
      <c r="C138">
        <f t="shared" ca="1" si="4"/>
        <v>0.34473156738784616</v>
      </c>
      <c r="D138" s="9">
        <f ca="1">Assumptions!B$3*(1+B138)^24*(1-C138/12)^24</f>
        <v>521403.20358456206</v>
      </c>
      <c r="E138" s="9">
        <f t="shared" ca="1" si="5"/>
        <v>6256838.4430147447</v>
      </c>
    </row>
    <row r="139" spans="1:5" x14ac:dyDescent="0.35">
      <c r="A139">
        <v>126</v>
      </c>
      <c r="B139">
        <f t="shared" ca="1" si="3"/>
        <v>2.1161873463670988E-2</v>
      </c>
      <c r="C139">
        <f t="shared" ca="1" si="4"/>
        <v>0.30227392621351568</v>
      </c>
      <c r="D139" s="9">
        <f ca="1">Assumptions!B$3*(1+B139)^24*(1-C139/12)^24</f>
        <v>408724.716772791</v>
      </c>
      <c r="E139" s="9">
        <f t="shared" ca="1" si="5"/>
        <v>4904696.601273492</v>
      </c>
    </row>
    <row r="140" spans="1:5" x14ac:dyDescent="0.35">
      <c r="A140">
        <v>127</v>
      </c>
      <c r="B140">
        <f t="shared" ca="1" si="3"/>
        <v>2.1611874769415413E-2</v>
      </c>
      <c r="C140">
        <f t="shared" ca="1" si="4"/>
        <v>0.35682273610367143</v>
      </c>
      <c r="D140" s="9">
        <f ca="1">Assumptions!B$3*(1+B140)^24*(1-C140/12)^24</f>
        <v>369236.45910418965</v>
      </c>
      <c r="E140" s="9">
        <f t="shared" ca="1" si="5"/>
        <v>4430837.5092502758</v>
      </c>
    </row>
    <row r="141" spans="1:5" x14ac:dyDescent="0.35">
      <c r="A141">
        <v>128</v>
      </c>
      <c r="B141">
        <f t="shared" ca="1" si="3"/>
        <v>2.5827126482515755E-2</v>
      </c>
      <c r="C141">
        <f t="shared" ca="1" si="4"/>
        <v>0.26955275902805659</v>
      </c>
      <c r="D141" s="9">
        <f ca="1">Assumptions!B$3*(1+B141)^24*(1-C141/12)^24</f>
        <v>487591.32075352257</v>
      </c>
      <c r="E141" s="9">
        <f t="shared" ca="1" si="5"/>
        <v>5851095.8490422703</v>
      </c>
    </row>
    <row r="142" spans="1:5" x14ac:dyDescent="0.35">
      <c r="A142">
        <v>129</v>
      </c>
      <c r="B142">
        <f t="shared" ca="1" si="3"/>
        <v>2.5205589747331902E-2</v>
      </c>
      <c r="C142">
        <f t="shared" ca="1" si="4"/>
        <v>0.30913922667251459</v>
      </c>
      <c r="D142" s="9">
        <f ca="1">Assumptions!B$3*(1+B142)^24*(1-C142/12)^24</f>
        <v>443103.1812526955</v>
      </c>
      <c r="E142" s="9">
        <f t="shared" ca="1" si="5"/>
        <v>5317238.1750323456</v>
      </c>
    </row>
    <row r="143" spans="1:5" x14ac:dyDescent="0.35">
      <c r="A143">
        <v>130</v>
      </c>
      <c r="B143">
        <f t="shared" ca="1" si="3"/>
        <v>3.68431375014893E-2</v>
      </c>
      <c r="C143">
        <f t="shared" ca="1" si="4"/>
        <v>0.28999219492652956</v>
      </c>
      <c r="D143" s="9">
        <f ca="1">Assumptions!B$3*(1+B143)^24*(1-C143/12)^24</f>
        <v>604243.21716932999</v>
      </c>
      <c r="E143" s="9">
        <f t="shared" ca="1" si="5"/>
        <v>7250918.6060319599</v>
      </c>
    </row>
    <row r="144" spans="1:5" x14ac:dyDescent="0.35">
      <c r="A144">
        <v>131</v>
      </c>
      <c r="B144">
        <f t="shared" ref="B144:B207" ca="1" si="6">_xlfn.NORM.INV(RAND(), $B$4, $B$5)</f>
        <v>1.3286554439952528E-2</v>
      </c>
      <c r="C144">
        <f t="shared" ref="C144:C207" ca="1" si="7">+_xlfn.NORM.INV(RAND(), $B$6, $B$7)</f>
        <v>0.2325331534542216</v>
      </c>
      <c r="D144" s="9">
        <f ca="1">Assumptions!B$3*(1+B144)^24*(1-C144/12)^24</f>
        <v>391464.41797096259</v>
      </c>
      <c r="E144" s="9">
        <f t="shared" ref="E144:E207" ca="1" si="8">D144*12</f>
        <v>4697573.0156515511</v>
      </c>
    </row>
    <row r="145" spans="1:5" x14ac:dyDescent="0.35">
      <c r="A145">
        <v>132</v>
      </c>
      <c r="B145">
        <f t="shared" ca="1" si="6"/>
        <v>4.2510848490861453E-2</v>
      </c>
      <c r="C145">
        <f t="shared" ca="1" si="7"/>
        <v>0.30796512552823074</v>
      </c>
      <c r="D145" s="9">
        <f ca="1">Assumptions!B$3*(1+B145)^24*(1-C145/12)^24</f>
        <v>663777.32849067589</v>
      </c>
      <c r="E145" s="9">
        <f t="shared" ca="1" si="8"/>
        <v>7965327.9418881107</v>
      </c>
    </row>
    <row r="146" spans="1:5" x14ac:dyDescent="0.35">
      <c r="A146">
        <v>133</v>
      </c>
      <c r="B146">
        <f t="shared" ca="1" si="6"/>
        <v>3.1523026323915369E-2</v>
      </c>
      <c r="C146">
        <f t="shared" ca="1" si="7"/>
        <v>0.36310589274208205</v>
      </c>
      <c r="D146" s="9">
        <f ca="1">Assumptions!B$3*(1+B146)^24*(1-C146/12)^24</f>
        <v>459526.11608612846</v>
      </c>
      <c r="E146" s="9">
        <f t="shared" ca="1" si="8"/>
        <v>5514313.3930335417</v>
      </c>
    </row>
    <row r="147" spans="1:5" x14ac:dyDescent="0.35">
      <c r="A147">
        <v>134</v>
      </c>
      <c r="B147">
        <f t="shared" ca="1" si="6"/>
        <v>4.5930781355204904E-2</v>
      </c>
      <c r="C147">
        <f t="shared" ca="1" si="7"/>
        <v>0.33734734137218181</v>
      </c>
      <c r="D147" s="9">
        <f ca="1">Assumptions!B$3*(1+B147)^24*(1-C147/12)^24</f>
        <v>675978.42155200138</v>
      </c>
      <c r="E147" s="9">
        <f t="shared" ca="1" si="8"/>
        <v>8111741.0586240161</v>
      </c>
    </row>
    <row r="148" spans="1:5" x14ac:dyDescent="0.35">
      <c r="A148">
        <v>135</v>
      </c>
      <c r="B148">
        <f t="shared" ca="1" si="6"/>
        <v>3.3079772118646482E-2</v>
      </c>
      <c r="C148">
        <f t="shared" ca="1" si="7"/>
        <v>0.39834242186790025</v>
      </c>
      <c r="D148" s="9">
        <f ca="1">Assumptions!B$3*(1+B148)^24*(1-C148/12)^24</f>
        <v>443016.1949168038</v>
      </c>
      <c r="E148" s="9">
        <f t="shared" ca="1" si="8"/>
        <v>5316194.3390016453</v>
      </c>
    </row>
    <row r="149" spans="1:5" x14ac:dyDescent="0.35">
      <c r="A149">
        <v>136</v>
      </c>
      <c r="B149">
        <f t="shared" ca="1" si="6"/>
        <v>3.4314647173216653E-2</v>
      </c>
      <c r="C149">
        <f t="shared" ca="1" si="7"/>
        <v>0.2585333997404608</v>
      </c>
      <c r="D149" s="9">
        <f ca="1">Assumptions!B$3*(1+B149)^24*(1-C149/12)^24</f>
        <v>607752.14364803734</v>
      </c>
      <c r="E149" s="9">
        <f t="shared" ca="1" si="8"/>
        <v>7293025.7237764485</v>
      </c>
    </row>
    <row r="150" spans="1:5" x14ac:dyDescent="0.35">
      <c r="A150">
        <v>137</v>
      </c>
      <c r="B150">
        <f t="shared" ca="1" si="6"/>
        <v>1.7106496989668242E-2</v>
      </c>
      <c r="C150">
        <f t="shared" ca="1" si="7"/>
        <v>0.2332164404404764</v>
      </c>
      <c r="D150" s="9">
        <f ca="1">Assumptions!B$3*(1+B150)^24*(1-C150/12)^24</f>
        <v>427864.85743743845</v>
      </c>
      <c r="E150" s="9">
        <f t="shared" ca="1" si="8"/>
        <v>5134378.2892492618</v>
      </c>
    </row>
    <row r="151" spans="1:5" x14ac:dyDescent="0.35">
      <c r="A151">
        <v>138</v>
      </c>
      <c r="B151">
        <f t="shared" ca="1" si="6"/>
        <v>4.4521609107864651E-2</v>
      </c>
      <c r="C151">
        <f t="shared" ca="1" si="7"/>
        <v>0.30530508067867212</v>
      </c>
      <c r="D151" s="9">
        <f ca="1">Assumptions!B$3*(1+B151)^24*(1-C151/12)^24</f>
        <v>699000.99717877305</v>
      </c>
      <c r="E151" s="9">
        <f t="shared" ca="1" si="8"/>
        <v>8388011.966145277</v>
      </c>
    </row>
    <row r="152" spans="1:5" x14ac:dyDescent="0.35">
      <c r="A152">
        <v>139</v>
      </c>
      <c r="B152">
        <f t="shared" ca="1" si="6"/>
        <v>1.8036955226345311E-2</v>
      </c>
      <c r="C152">
        <f t="shared" ca="1" si="7"/>
        <v>0.29852751008124762</v>
      </c>
      <c r="D152" s="9">
        <f ca="1">Assumptions!B$3*(1+B152)^24*(1-C152/12)^24</f>
        <v>382669.101643159</v>
      </c>
      <c r="E152" s="9">
        <f t="shared" ca="1" si="8"/>
        <v>4592029.2197179077</v>
      </c>
    </row>
    <row r="153" spans="1:5" x14ac:dyDescent="0.35">
      <c r="A153">
        <v>140</v>
      </c>
      <c r="B153">
        <f t="shared" ca="1" si="6"/>
        <v>2.650113908976862E-2</v>
      </c>
      <c r="C153">
        <f t="shared" ca="1" si="7"/>
        <v>0.35765890560255126</v>
      </c>
      <c r="D153" s="9">
        <f ca="1">Assumptions!B$3*(1+B153)^24*(1-C153/12)^24</f>
        <v>413352.03884742787</v>
      </c>
      <c r="E153" s="9">
        <f t="shared" ca="1" si="8"/>
        <v>4960224.4661691347</v>
      </c>
    </row>
    <row r="154" spans="1:5" x14ac:dyDescent="0.35">
      <c r="A154">
        <v>141</v>
      </c>
      <c r="B154">
        <f t="shared" ca="1" si="6"/>
        <v>3.4302447875566688E-2</v>
      </c>
      <c r="C154">
        <f t="shared" ca="1" si="7"/>
        <v>0.21508308243107815</v>
      </c>
      <c r="D154" s="9">
        <f ca="1">Assumptions!B$3*(1+B154)^24*(1-C154/12)^24</f>
        <v>663901.78634965676</v>
      </c>
      <c r="E154" s="9">
        <f t="shared" ca="1" si="8"/>
        <v>7966821.4361958811</v>
      </c>
    </row>
    <row r="155" spans="1:5" x14ac:dyDescent="0.35">
      <c r="A155">
        <v>142</v>
      </c>
      <c r="B155">
        <f t="shared" ca="1" si="6"/>
        <v>1.9555728623524674E-2</v>
      </c>
      <c r="C155">
        <f t="shared" ca="1" si="7"/>
        <v>0.20889334758165912</v>
      </c>
      <c r="D155" s="9">
        <f ca="1">Assumptions!B$3*(1+B155)^24*(1-C155/12)^24</f>
        <v>476320.04343073728</v>
      </c>
      <c r="E155" s="9">
        <f t="shared" ca="1" si="8"/>
        <v>5715840.5211688476</v>
      </c>
    </row>
    <row r="156" spans="1:5" x14ac:dyDescent="0.35">
      <c r="A156">
        <v>143</v>
      </c>
      <c r="B156">
        <f t="shared" ca="1" si="6"/>
        <v>2.93287214612881E-2</v>
      </c>
      <c r="C156">
        <f t="shared" ca="1" si="7"/>
        <v>0.33827441443301731</v>
      </c>
      <c r="D156" s="9">
        <f ca="1">Assumptions!B$3*(1+B156)^24*(1-C156/12)^24</f>
        <v>459548.95763428602</v>
      </c>
      <c r="E156" s="9">
        <f t="shared" ca="1" si="8"/>
        <v>5514587.4916114323</v>
      </c>
    </row>
    <row r="157" spans="1:5" x14ac:dyDescent="0.35">
      <c r="A157">
        <v>144</v>
      </c>
      <c r="B157">
        <f t="shared" ca="1" si="6"/>
        <v>2.1270588668761185E-2</v>
      </c>
      <c r="C157">
        <f t="shared" ca="1" si="7"/>
        <v>0.20292619514020138</v>
      </c>
      <c r="D157" s="9">
        <f ca="1">Assumptions!B$3*(1+B157)^24*(1-C157/12)^24</f>
        <v>501982.85796845943</v>
      </c>
      <c r="E157" s="9">
        <f t="shared" ca="1" si="8"/>
        <v>6023794.2956215134</v>
      </c>
    </row>
    <row r="158" spans="1:5" x14ac:dyDescent="0.35">
      <c r="A158">
        <v>145</v>
      </c>
      <c r="B158">
        <f t="shared" ca="1" si="6"/>
        <v>2.774959110333431E-2</v>
      </c>
      <c r="C158">
        <f t="shared" ca="1" si="7"/>
        <v>0.26474011294430289</v>
      </c>
      <c r="D158" s="9">
        <f ca="1">Assumptions!B$3*(1+B158)^24*(1-C158/12)^24</f>
        <v>515046.64391346223</v>
      </c>
      <c r="E158" s="9">
        <f t="shared" ca="1" si="8"/>
        <v>6180559.7269615466</v>
      </c>
    </row>
    <row r="159" spans="1:5" x14ac:dyDescent="0.35">
      <c r="A159">
        <v>146</v>
      </c>
      <c r="B159">
        <f t="shared" ca="1" si="6"/>
        <v>1.7610236326218279E-2</v>
      </c>
      <c r="C159">
        <f t="shared" ca="1" si="7"/>
        <v>0.36549838166449222</v>
      </c>
      <c r="D159" s="9">
        <f ca="1">Assumptions!B$3*(1+B159)^24*(1-C159/12)^24</f>
        <v>330086.68413455621</v>
      </c>
      <c r="E159" s="9">
        <f t="shared" ca="1" si="8"/>
        <v>3961040.2096146746</v>
      </c>
    </row>
    <row r="160" spans="1:5" x14ac:dyDescent="0.35">
      <c r="A160">
        <v>147</v>
      </c>
      <c r="B160">
        <f t="shared" ca="1" si="6"/>
        <v>4.8967574813324311E-2</v>
      </c>
      <c r="C160">
        <f t="shared" ca="1" si="7"/>
        <v>0.21316969933768692</v>
      </c>
      <c r="D160" s="9">
        <f ca="1">Assumptions!B$3*(1+B160)^24*(1-C160/12)^24</f>
        <v>934424.5562915433</v>
      </c>
      <c r="E160" s="9">
        <f t="shared" ca="1" si="8"/>
        <v>11213094.675498519</v>
      </c>
    </row>
    <row r="161" spans="1:5" x14ac:dyDescent="0.35">
      <c r="A161">
        <v>148</v>
      </c>
      <c r="B161">
        <f t="shared" ca="1" si="6"/>
        <v>3.8007456331634423E-2</v>
      </c>
      <c r="C161">
        <f t="shared" ca="1" si="7"/>
        <v>0.28789523287931379</v>
      </c>
      <c r="D161" s="9">
        <f ca="1">Assumptions!B$3*(1+B161)^24*(1-C161/12)^24</f>
        <v>623413.34671034163</v>
      </c>
      <c r="E161" s="9">
        <f t="shared" ca="1" si="8"/>
        <v>7480960.1605241001</v>
      </c>
    </row>
    <row r="162" spans="1:5" x14ac:dyDescent="0.35">
      <c r="A162">
        <v>149</v>
      </c>
      <c r="B162">
        <f t="shared" ca="1" si="6"/>
        <v>3.8915078436850749E-2</v>
      </c>
      <c r="C162">
        <f t="shared" ca="1" si="7"/>
        <v>0.27575203200492898</v>
      </c>
      <c r="D162" s="9">
        <f ca="1">Assumptions!B$3*(1+B162)^24*(1-C162/12)^24</f>
        <v>652660.07436477067</v>
      </c>
      <c r="E162" s="9">
        <f t="shared" ca="1" si="8"/>
        <v>7831920.892377248</v>
      </c>
    </row>
    <row r="163" spans="1:5" x14ac:dyDescent="0.35">
      <c r="A163">
        <v>150</v>
      </c>
      <c r="B163">
        <f t="shared" ca="1" si="6"/>
        <v>3.3566174914038953E-2</v>
      </c>
      <c r="C163">
        <f t="shared" ca="1" si="7"/>
        <v>0.22331884316156927</v>
      </c>
      <c r="D163" s="9">
        <f ca="1">Assumptions!B$3*(1+B163)^24*(1-C163/12)^24</f>
        <v>641792.87722759263</v>
      </c>
      <c r="E163" s="9">
        <f t="shared" ca="1" si="8"/>
        <v>7701514.5267311111</v>
      </c>
    </row>
    <row r="164" spans="1:5" x14ac:dyDescent="0.35">
      <c r="A164">
        <v>151</v>
      </c>
      <c r="B164">
        <f t="shared" ca="1" si="6"/>
        <v>5.0609489210809329E-2</v>
      </c>
      <c r="C164">
        <f t="shared" ca="1" si="7"/>
        <v>0.20632223884799059</v>
      </c>
      <c r="D164" s="9">
        <f ca="1">Assumptions!B$3*(1+B164)^24*(1-C164/12)^24</f>
        <v>983784.11969070241</v>
      </c>
      <c r="E164" s="9">
        <f t="shared" ca="1" si="8"/>
        <v>11805409.436288429</v>
      </c>
    </row>
    <row r="165" spans="1:5" x14ac:dyDescent="0.35">
      <c r="A165">
        <v>152</v>
      </c>
      <c r="B165">
        <f t="shared" ca="1" si="6"/>
        <v>3.1510688879644574E-2</v>
      </c>
      <c r="C165">
        <f t="shared" ca="1" si="7"/>
        <v>0.17812207870099966</v>
      </c>
      <c r="D165" s="9">
        <f ca="1">Assumptions!B$3*(1+B165)^24*(1-C165/12)^24</f>
        <v>670765.69549135037</v>
      </c>
      <c r="E165" s="9">
        <f t="shared" ca="1" si="8"/>
        <v>8049188.3458962049</v>
      </c>
    </row>
    <row r="166" spans="1:5" x14ac:dyDescent="0.35">
      <c r="A166">
        <v>153</v>
      </c>
      <c r="B166">
        <f t="shared" ca="1" si="6"/>
        <v>1.2932020879177858E-2</v>
      </c>
      <c r="C166">
        <f t="shared" ca="1" si="7"/>
        <v>0.24945197284038409</v>
      </c>
      <c r="D166" s="9">
        <f ca="1">Assumptions!B$3*(1+B166)^24*(1-C166/12)^24</f>
        <v>375014.53945965471</v>
      </c>
      <c r="E166" s="9">
        <f t="shared" ca="1" si="8"/>
        <v>4500174.473515857</v>
      </c>
    </row>
    <row r="167" spans="1:5" x14ac:dyDescent="0.35">
      <c r="A167">
        <v>154</v>
      </c>
      <c r="B167">
        <f t="shared" ca="1" si="6"/>
        <v>4.6150605056032544E-3</v>
      </c>
      <c r="C167">
        <f t="shared" ca="1" si="7"/>
        <v>0.28947277773796132</v>
      </c>
      <c r="D167" s="9">
        <f ca="1">Assumptions!B$3*(1+B167)^24*(1-C167/12)^24</f>
        <v>283500.05874154216</v>
      </c>
      <c r="E167" s="9">
        <f t="shared" ca="1" si="8"/>
        <v>3402000.7048985059</v>
      </c>
    </row>
    <row r="168" spans="1:5" x14ac:dyDescent="0.35">
      <c r="A168">
        <v>155</v>
      </c>
      <c r="B168">
        <f t="shared" ca="1" si="6"/>
        <v>3.0644191872975492E-2</v>
      </c>
      <c r="C168">
        <f t="shared" ca="1" si="7"/>
        <v>0.18077138623564437</v>
      </c>
      <c r="D168" s="9">
        <f ca="1">Assumptions!B$3*(1+B168)^24*(1-C168/12)^24</f>
        <v>653845.90958975686</v>
      </c>
      <c r="E168" s="9">
        <f t="shared" ca="1" si="8"/>
        <v>7846150.9150770828</v>
      </c>
    </row>
    <row r="169" spans="1:5" x14ac:dyDescent="0.35">
      <c r="A169">
        <v>156</v>
      </c>
      <c r="B169">
        <f t="shared" ca="1" si="6"/>
        <v>2.0708130058942478E-2</v>
      </c>
      <c r="C169">
        <f t="shared" ca="1" si="7"/>
        <v>9.9983785461734836E-2</v>
      </c>
      <c r="D169" s="9">
        <f ca="1">Assumptions!B$3*(1+B169)^24*(1-C169/12)^24</f>
        <v>610246.11674278579</v>
      </c>
      <c r="E169" s="9">
        <f t="shared" ca="1" si="8"/>
        <v>7322953.4009134294</v>
      </c>
    </row>
    <row r="170" spans="1:5" x14ac:dyDescent="0.35">
      <c r="A170">
        <v>157</v>
      </c>
      <c r="B170">
        <f t="shared" ca="1" si="6"/>
        <v>2.5345172643894028E-2</v>
      </c>
      <c r="C170">
        <f t="shared" ca="1" si="7"/>
        <v>0.29726600456748764</v>
      </c>
      <c r="D170" s="9">
        <f ca="1">Assumptions!B$3*(1+B170)^24*(1-C170/12)^24</f>
        <v>455516.55484919436</v>
      </c>
      <c r="E170" s="9">
        <f t="shared" ca="1" si="8"/>
        <v>5466198.6581903324</v>
      </c>
    </row>
    <row r="171" spans="1:5" x14ac:dyDescent="0.35">
      <c r="A171">
        <v>158</v>
      </c>
      <c r="B171">
        <f t="shared" ca="1" si="6"/>
        <v>3.5918195643158707E-2</v>
      </c>
      <c r="C171">
        <f t="shared" ca="1" si="7"/>
        <v>0.28564134542189801</v>
      </c>
      <c r="D171" s="9">
        <f ca="1">Assumptions!B$3*(1+B171)^24*(1-C171/12)^24</f>
        <v>596734.90796248754</v>
      </c>
      <c r="E171" s="9">
        <f t="shared" ca="1" si="8"/>
        <v>7160818.8955498505</v>
      </c>
    </row>
    <row r="172" spans="1:5" x14ac:dyDescent="0.35">
      <c r="A172">
        <v>159</v>
      </c>
      <c r="B172">
        <f t="shared" ca="1" si="6"/>
        <v>3.0476380614113494E-2</v>
      </c>
      <c r="C172">
        <f t="shared" ca="1" si="7"/>
        <v>0.19681965903020018</v>
      </c>
      <c r="D172" s="9">
        <f ca="1">Assumptions!B$3*(1+B172)^24*(1-C172/12)^24</f>
        <v>630399.70842901641</v>
      </c>
      <c r="E172" s="9">
        <f t="shared" ca="1" si="8"/>
        <v>7564796.5011481969</v>
      </c>
    </row>
    <row r="173" spans="1:5" x14ac:dyDescent="0.35">
      <c r="A173">
        <v>160</v>
      </c>
      <c r="B173">
        <f t="shared" ca="1" si="6"/>
        <v>2.5963674895715071E-2</v>
      </c>
      <c r="C173">
        <f t="shared" ca="1" si="7"/>
        <v>0.2088679104600151</v>
      </c>
      <c r="D173" s="9">
        <f ca="1">Assumptions!B$3*(1+B173)^24*(1-C173/12)^24</f>
        <v>553637.76941248495</v>
      </c>
      <c r="E173" s="9">
        <f t="shared" ca="1" si="8"/>
        <v>6643653.2329498194</v>
      </c>
    </row>
    <row r="174" spans="1:5" x14ac:dyDescent="0.35">
      <c r="A174">
        <v>161</v>
      </c>
      <c r="B174">
        <f t="shared" ca="1" si="6"/>
        <v>1.3182058989471217E-2</v>
      </c>
      <c r="C174">
        <f t="shared" ca="1" si="7"/>
        <v>0.1098247372028065</v>
      </c>
      <c r="D174" s="9">
        <f ca="1">Assumptions!B$3*(1+B174)^24*(1-C174/12)^24</f>
        <v>500891.77888333797</v>
      </c>
      <c r="E174" s="9">
        <f t="shared" ca="1" si="8"/>
        <v>6010701.3466000557</v>
      </c>
    </row>
    <row r="175" spans="1:5" x14ac:dyDescent="0.35">
      <c r="A175">
        <v>162</v>
      </c>
      <c r="B175">
        <f t="shared" ca="1" si="6"/>
        <v>3.6906411315625706E-2</v>
      </c>
      <c r="C175">
        <f t="shared" ca="1" si="7"/>
        <v>0.26759838645131018</v>
      </c>
      <c r="D175" s="9">
        <f ca="1">Assumptions!B$3*(1+B175)^24*(1-C175/12)^24</f>
        <v>633521.7227799223</v>
      </c>
      <c r="E175" s="9">
        <f t="shared" ca="1" si="8"/>
        <v>7602260.6733590681</v>
      </c>
    </row>
    <row r="176" spans="1:5" x14ac:dyDescent="0.35">
      <c r="A176">
        <v>163</v>
      </c>
      <c r="B176">
        <f t="shared" ca="1" si="6"/>
        <v>1.6015326147607915E-2</v>
      </c>
      <c r="C176">
        <f t="shared" ca="1" si="7"/>
        <v>0.27138365572098727</v>
      </c>
      <c r="D176" s="9">
        <f ca="1">Assumptions!B$3*(1+B176)^24*(1-C176/12)^24</f>
        <v>385704.68948361889</v>
      </c>
      <c r="E176" s="9">
        <f t="shared" ca="1" si="8"/>
        <v>4628456.2738034269</v>
      </c>
    </row>
    <row r="177" spans="1:5" x14ac:dyDescent="0.35">
      <c r="A177">
        <v>164</v>
      </c>
      <c r="B177">
        <f t="shared" ca="1" si="6"/>
        <v>3.8412415856942869E-2</v>
      </c>
      <c r="C177">
        <f t="shared" ca="1" si="7"/>
        <v>0.28371778391206393</v>
      </c>
      <c r="D177" s="9">
        <f ca="1">Assumptions!B$3*(1+B177)^24*(1-C177/12)^24</f>
        <v>634685.66009473975</v>
      </c>
      <c r="E177" s="9">
        <f t="shared" ca="1" si="8"/>
        <v>7616227.9211368766</v>
      </c>
    </row>
    <row r="178" spans="1:5" x14ac:dyDescent="0.35">
      <c r="A178">
        <v>165</v>
      </c>
      <c r="B178">
        <f t="shared" ca="1" si="6"/>
        <v>2.8167263582053771E-2</v>
      </c>
      <c r="C178">
        <f t="shared" ca="1" si="7"/>
        <v>0.33723265872989344</v>
      </c>
      <c r="D178" s="9">
        <f ca="1">Assumptions!B$3*(1+B178)^24*(1-C178/12)^24</f>
        <v>448224.08571450983</v>
      </c>
      <c r="E178" s="9">
        <f t="shared" ca="1" si="8"/>
        <v>5378689.0285741184</v>
      </c>
    </row>
    <row r="179" spans="1:5" x14ac:dyDescent="0.35">
      <c r="A179">
        <v>166</v>
      </c>
      <c r="B179">
        <f t="shared" ca="1" si="6"/>
        <v>1.6785512553916991E-2</v>
      </c>
      <c r="C179">
        <f t="shared" ca="1" si="7"/>
        <v>0.20597489771792665</v>
      </c>
      <c r="D179" s="9">
        <f ca="1">Assumptions!B$3*(1+B179)^24*(1-C179/12)^24</f>
        <v>448868.89513044525</v>
      </c>
      <c r="E179" s="9">
        <f t="shared" ca="1" si="8"/>
        <v>5386426.741565343</v>
      </c>
    </row>
    <row r="180" spans="1:5" x14ac:dyDescent="0.35">
      <c r="A180">
        <v>167</v>
      </c>
      <c r="B180">
        <f t="shared" ca="1" si="6"/>
        <v>3.0628557185402087E-2</v>
      </c>
      <c r="C180">
        <f t="shared" ca="1" si="7"/>
        <v>0.18790668314984721</v>
      </c>
      <c r="D180" s="9">
        <f ca="1">Assumptions!B$3*(1+B180)^24*(1-C180/12)^24</f>
        <v>644203.32587016874</v>
      </c>
      <c r="E180" s="9">
        <f t="shared" ca="1" si="8"/>
        <v>7730439.9104420245</v>
      </c>
    </row>
    <row r="181" spans="1:5" x14ac:dyDescent="0.35">
      <c r="A181">
        <v>168</v>
      </c>
      <c r="B181">
        <f t="shared" ca="1" si="6"/>
        <v>4.202155860716987E-2</v>
      </c>
      <c r="C181">
        <f t="shared" ca="1" si="7"/>
        <v>0.2616971426553123</v>
      </c>
      <c r="D181" s="9">
        <f ca="1">Assumptions!B$3*(1+B181)^24*(1-C181/12)^24</f>
        <v>721596.34804309951</v>
      </c>
      <c r="E181" s="9">
        <f t="shared" ca="1" si="8"/>
        <v>8659156.1765171941</v>
      </c>
    </row>
    <row r="182" spans="1:5" x14ac:dyDescent="0.35">
      <c r="A182">
        <v>169</v>
      </c>
      <c r="B182">
        <f t="shared" ca="1" si="6"/>
        <v>2.9508626735748809E-2</v>
      </c>
      <c r="C182">
        <f t="shared" ca="1" si="7"/>
        <v>0.21725440898345427</v>
      </c>
      <c r="D182" s="9">
        <f ca="1">Assumptions!B$3*(1+B182)^24*(1-C182/12)^24</f>
        <v>591237.20018774888</v>
      </c>
      <c r="E182" s="9">
        <f t="shared" ca="1" si="8"/>
        <v>7094846.402252987</v>
      </c>
    </row>
    <row r="183" spans="1:5" x14ac:dyDescent="0.35">
      <c r="A183">
        <v>170</v>
      </c>
      <c r="B183">
        <f t="shared" ca="1" si="6"/>
        <v>1.6388957435963344E-2</v>
      </c>
      <c r="C183">
        <f t="shared" ca="1" si="7"/>
        <v>0.28354329761692965</v>
      </c>
      <c r="D183" s="9">
        <f ca="1">Assumptions!B$3*(1+B183)^24*(1-C183/12)^24</f>
        <v>379555.67756789213</v>
      </c>
      <c r="E183" s="9">
        <f t="shared" ca="1" si="8"/>
        <v>4554668.130814705</v>
      </c>
    </row>
    <row r="184" spans="1:5" x14ac:dyDescent="0.35">
      <c r="A184">
        <v>171</v>
      </c>
      <c r="B184">
        <f t="shared" ca="1" si="6"/>
        <v>1.6326749171480248E-2</v>
      </c>
      <c r="C184">
        <f t="shared" ca="1" si="7"/>
        <v>0.2098310991440144</v>
      </c>
      <c r="D184" s="9">
        <f ca="1">Assumptions!B$3*(1+B184)^24*(1-C184/12)^24</f>
        <v>440562.12668059429</v>
      </c>
      <c r="E184" s="9">
        <f t="shared" ca="1" si="8"/>
        <v>5286745.520167131</v>
      </c>
    </row>
    <row r="185" spans="1:5" x14ac:dyDescent="0.35">
      <c r="A185">
        <v>172</v>
      </c>
      <c r="B185">
        <f t="shared" ca="1" si="6"/>
        <v>4.0403546816174446E-2</v>
      </c>
      <c r="C185">
        <f t="shared" ca="1" si="7"/>
        <v>0.3179580925021534</v>
      </c>
      <c r="D185" s="9">
        <f ca="1">Assumptions!B$3*(1+B185)^24*(1-C185/12)^24</f>
        <v>619469.58456596965</v>
      </c>
      <c r="E185" s="9">
        <f t="shared" ca="1" si="8"/>
        <v>7433635.0147916358</v>
      </c>
    </row>
    <row r="186" spans="1:5" x14ac:dyDescent="0.35">
      <c r="A186">
        <v>173</v>
      </c>
      <c r="B186">
        <f t="shared" ca="1" si="6"/>
        <v>2.4815009874921603E-2</v>
      </c>
      <c r="C186">
        <f t="shared" ca="1" si="7"/>
        <v>0.25823057758165718</v>
      </c>
      <c r="D186" s="9">
        <f ca="1">Assumptions!B$3*(1+B186)^24*(1-C186/12)^24</f>
        <v>487329.36553577433</v>
      </c>
      <c r="E186" s="9">
        <f t="shared" ca="1" si="8"/>
        <v>5847952.3864292921</v>
      </c>
    </row>
    <row r="187" spans="1:5" x14ac:dyDescent="0.35">
      <c r="A187">
        <v>174</v>
      </c>
      <c r="B187">
        <f t="shared" ca="1" si="6"/>
        <v>1.3320576086189809E-2</v>
      </c>
      <c r="C187">
        <f t="shared" ca="1" si="7"/>
        <v>0.19682313882500424</v>
      </c>
      <c r="D187" s="9">
        <f ca="1">Assumptions!B$3*(1+B187)^24*(1-C187/12)^24</f>
        <v>421332.14966181724</v>
      </c>
      <c r="E187" s="9">
        <f t="shared" ca="1" si="8"/>
        <v>5055985.7959418073</v>
      </c>
    </row>
    <row r="188" spans="1:5" x14ac:dyDescent="0.35">
      <c r="A188">
        <v>175</v>
      </c>
      <c r="B188">
        <f t="shared" ca="1" si="6"/>
        <v>2.7652147462292588E-2</v>
      </c>
      <c r="C188">
        <f t="shared" ca="1" si="7"/>
        <v>0.25184424200565486</v>
      </c>
      <c r="D188" s="9">
        <f ca="1">Assumptions!B$3*(1+B188)^24*(1-C188/12)^24</f>
        <v>527601.34142857441</v>
      </c>
      <c r="E188" s="9">
        <f t="shared" ca="1" si="8"/>
        <v>6331216.0971428929</v>
      </c>
    </row>
    <row r="189" spans="1:5" x14ac:dyDescent="0.35">
      <c r="A189">
        <v>176</v>
      </c>
      <c r="B189">
        <f t="shared" ca="1" si="6"/>
        <v>1.177964837956064E-2</v>
      </c>
      <c r="C189">
        <f t="shared" ca="1" si="7"/>
        <v>0.31005280934334856</v>
      </c>
      <c r="D189" s="9">
        <f ca="1">Assumptions!B$3*(1+B189)^24*(1-C189/12)^24</f>
        <v>322321.81668659888</v>
      </c>
      <c r="E189" s="9">
        <f t="shared" ca="1" si="8"/>
        <v>3867861.8002391867</v>
      </c>
    </row>
    <row r="190" spans="1:5" x14ac:dyDescent="0.35">
      <c r="A190">
        <v>177</v>
      </c>
      <c r="B190">
        <f t="shared" ca="1" si="6"/>
        <v>4.1551919007264529E-2</v>
      </c>
      <c r="C190">
        <f t="shared" ca="1" si="7"/>
        <v>0.31428263927245986</v>
      </c>
      <c r="D190" s="9">
        <f ca="1">Assumptions!B$3*(1+B190)^24*(1-C190/12)^24</f>
        <v>640910.23311256827</v>
      </c>
      <c r="E190" s="9">
        <f t="shared" ca="1" si="8"/>
        <v>7690922.7973508192</v>
      </c>
    </row>
    <row r="191" spans="1:5" x14ac:dyDescent="0.35">
      <c r="A191">
        <v>178</v>
      </c>
      <c r="B191">
        <f t="shared" ca="1" si="6"/>
        <v>1.7035167911570649E-2</v>
      </c>
      <c r="C191">
        <f t="shared" ca="1" si="7"/>
        <v>0.22334502039023008</v>
      </c>
      <c r="D191" s="9">
        <f ca="1">Assumptions!B$3*(1+B191)^24*(1-C191/12)^24</f>
        <v>435828.98388607753</v>
      </c>
      <c r="E191" s="9">
        <f t="shared" ca="1" si="8"/>
        <v>5229947.8066329304</v>
      </c>
    </row>
    <row r="192" spans="1:5" x14ac:dyDescent="0.35">
      <c r="A192">
        <v>179</v>
      </c>
      <c r="B192">
        <f t="shared" ca="1" si="6"/>
        <v>2.7281683118807208E-2</v>
      </c>
      <c r="C192">
        <f t="shared" ca="1" si="7"/>
        <v>0.20485831880110855</v>
      </c>
      <c r="D192" s="9">
        <f ca="1">Assumptions!B$3*(1+B192)^24*(1-C192/12)^24</f>
        <v>575639.95145439683</v>
      </c>
      <c r="E192" s="9">
        <f t="shared" ca="1" si="8"/>
        <v>6907679.4174527619</v>
      </c>
    </row>
    <row r="193" spans="1:5" x14ac:dyDescent="0.35">
      <c r="A193">
        <v>180</v>
      </c>
      <c r="B193">
        <f t="shared" ca="1" si="6"/>
        <v>3.1797382486172775E-2</v>
      </c>
      <c r="C193">
        <f t="shared" ca="1" si="7"/>
        <v>0.28863825990618575</v>
      </c>
      <c r="D193" s="9">
        <f ca="1">Assumptions!B$3*(1+B193)^24*(1-C193/12)^24</f>
        <v>538976.20492800174</v>
      </c>
      <c r="E193" s="9">
        <f t="shared" ca="1" si="8"/>
        <v>6467714.4591360204</v>
      </c>
    </row>
    <row r="194" spans="1:5" x14ac:dyDescent="0.35">
      <c r="A194">
        <v>181</v>
      </c>
      <c r="B194">
        <f t="shared" ca="1" si="6"/>
        <v>4.367751565247216E-2</v>
      </c>
      <c r="C194">
        <f t="shared" ca="1" si="7"/>
        <v>0.30863162298850472</v>
      </c>
      <c r="D194" s="9">
        <f ca="1">Assumptions!B$3*(1+B194)^24*(1-C194/12)^24</f>
        <v>680904.34094492858</v>
      </c>
      <c r="E194" s="9">
        <f t="shared" ca="1" si="8"/>
        <v>8170852.091339143</v>
      </c>
    </row>
    <row r="195" spans="1:5" x14ac:dyDescent="0.35">
      <c r="A195">
        <v>182</v>
      </c>
      <c r="B195">
        <f t="shared" ca="1" si="6"/>
        <v>1.8350392005915768E-2</v>
      </c>
      <c r="C195">
        <f t="shared" ca="1" si="7"/>
        <v>0.17166448941556398</v>
      </c>
      <c r="D195" s="9">
        <f ca="1">Assumptions!B$3*(1+B195)^24*(1-C195/12)^24</f>
        <v>499375.05656938581</v>
      </c>
      <c r="E195" s="9">
        <f t="shared" ca="1" si="8"/>
        <v>5992500.6788326297</v>
      </c>
    </row>
    <row r="196" spans="1:5" x14ac:dyDescent="0.35">
      <c r="A196">
        <v>183</v>
      </c>
      <c r="B196">
        <f t="shared" ca="1" si="6"/>
        <v>3.1848821257142529E-2</v>
      </c>
      <c r="C196">
        <f t="shared" ca="1" si="7"/>
        <v>0.26876116363622754</v>
      </c>
      <c r="D196" s="9">
        <f ca="1">Assumptions!B$3*(1+B196)^24*(1-C196/12)^24</f>
        <v>562036.79794754542</v>
      </c>
      <c r="E196" s="9">
        <f t="shared" ca="1" si="8"/>
        <v>6744441.5753705446</v>
      </c>
    </row>
    <row r="197" spans="1:5" x14ac:dyDescent="0.35">
      <c r="A197">
        <v>184</v>
      </c>
      <c r="B197">
        <f t="shared" ca="1" si="6"/>
        <v>2.9556674363192856E-2</v>
      </c>
      <c r="C197">
        <f t="shared" ca="1" si="7"/>
        <v>0.25552917446362561</v>
      </c>
      <c r="D197" s="9">
        <f ca="1">Assumptions!B$3*(1+B197)^24*(1-C197/12)^24</f>
        <v>547438.14557184069</v>
      </c>
      <c r="E197" s="9">
        <f t="shared" ca="1" si="8"/>
        <v>6569257.7468620883</v>
      </c>
    </row>
    <row r="198" spans="1:5" x14ac:dyDescent="0.35">
      <c r="A198">
        <v>185</v>
      </c>
      <c r="B198">
        <f t="shared" ca="1" si="6"/>
        <v>2.9322572600883764E-2</v>
      </c>
      <c r="C198">
        <f t="shared" ca="1" si="7"/>
        <v>0.17646536591933906</v>
      </c>
      <c r="D198" s="9">
        <f ca="1">Assumptions!B$3*(1+B198)^24*(1-C198/12)^24</f>
        <v>639584.25576617639</v>
      </c>
      <c r="E198" s="9">
        <f t="shared" ca="1" si="8"/>
        <v>7675011.0691941166</v>
      </c>
    </row>
    <row r="199" spans="1:5" x14ac:dyDescent="0.35">
      <c r="A199">
        <v>186</v>
      </c>
      <c r="B199">
        <f t="shared" ca="1" si="6"/>
        <v>4.5556608579304603E-2</v>
      </c>
      <c r="C199">
        <f t="shared" ca="1" si="7"/>
        <v>0.20853527681804629</v>
      </c>
      <c r="D199" s="9">
        <f ca="1">Assumptions!B$3*(1+B199)^24*(1-C199/12)^24</f>
        <v>872355.1945205318</v>
      </c>
      <c r="E199" s="9">
        <f t="shared" ca="1" si="8"/>
        <v>10468262.334246382</v>
      </c>
    </row>
    <row r="200" spans="1:5" x14ac:dyDescent="0.35">
      <c r="A200">
        <v>187</v>
      </c>
      <c r="B200">
        <f t="shared" ca="1" si="6"/>
        <v>1.506593568587751E-2</v>
      </c>
      <c r="C200">
        <f t="shared" ca="1" si="7"/>
        <v>0.26086885336057586</v>
      </c>
      <c r="D200" s="9">
        <f ca="1">Assumptions!B$3*(1+B200)^24*(1-C200/12)^24</f>
        <v>385346.10030752316</v>
      </c>
      <c r="E200" s="9">
        <f t="shared" ca="1" si="8"/>
        <v>4624153.2036902774</v>
      </c>
    </row>
    <row r="201" spans="1:5" x14ac:dyDescent="0.35">
      <c r="A201">
        <v>188</v>
      </c>
      <c r="B201">
        <f t="shared" ca="1" si="6"/>
        <v>5.762710925489823E-2</v>
      </c>
      <c r="C201">
        <f t="shared" ca="1" si="7"/>
        <v>0.25026047930881046</v>
      </c>
      <c r="D201" s="9">
        <f ca="1">Assumptions!B$3*(1+B201)^24*(1-C201/12)^24</f>
        <v>1055323.2016869176</v>
      </c>
      <c r="E201" s="9">
        <f t="shared" ca="1" si="8"/>
        <v>12663878.42024301</v>
      </c>
    </row>
    <row r="202" spans="1:5" x14ac:dyDescent="0.35">
      <c r="A202">
        <v>189</v>
      </c>
      <c r="B202">
        <f t="shared" ca="1" si="6"/>
        <v>3.7987929323385496E-2</v>
      </c>
      <c r="C202">
        <f t="shared" ca="1" si="7"/>
        <v>0.14831405780114693</v>
      </c>
      <c r="D202" s="9">
        <f ca="1">Assumptions!B$3*(1+B202)^24*(1-C202/12)^24</f>
        <v>828065.09683063626</v>
      </c>
      <c r="E202" s="9">
        <f t="shared" ca="1" si="8"/>
        <v>9936781.1619676352</v>
      </c>
    </row>
    <row r="203" spans="1:5" x14ac:dyDescent="0.35">
      <c r="A203">
        <v>190</v>
      </c>
      <c r="B203">
        <f t="shared" ca="1" si="6"/>
        <v>3.6980957766366306E-2</v>
      </c>
      <c r="C203">
        <f t="shared" ca="1" si="7"/>
        <v>0.28090280496154962</v>
      </c>
      <c r="D203" s="9">
        <f ca="1">Assumptions!B$3*(1+B203)^24*(1-C203/12)^24</f>
        <v>617567.56228943169</v>
      </c>
      <c r="E203" s="9">
        <f t="shared" ca="1" si="8"/>
        <v>7410810.7474731803</v>
      </c>
    </row>
    <row r="204" spans="1:5" x14ac:dyDescent="0.35">
      <c r="A204">
        <v>191</v>
      </c>
      <c r="B204">
        <f t="shared" ca="1" si="6"/>
        <v>3.7437487871089518E-2</v>
      </c>
      <c r="C204">
        <f t="shared" ca="1" si="7"/>
        <v>0.29677584875567709</v>
      </c>
      <c r="D204" s="9">
        <f ca="1">Assumptions!B$3*(1+B204)^24*(1-C204/12)^24</f>
        <v>604150.33569599234</v>
      </c>
      <c r="E204" s="9">
        <f t="shared" ca="1" si="8"/>
        <v>7249804.0283519085</v>
      </c>
    </row>
    <row r="205" spans="1:5" x14ac:dyDescent="0.35">
      <c r="A205">
        <v>192</v>
      </c>
      <c r="B205">
        <f t="shared" ca="1" si="6"/>
        <v>3.3029688405464594E-2</v>
      </c>
      <c r="C205">
        <f t="shared" ca="1" si="7"/>
        <v>0.3346970478805773</v>
      </c>
      <c r="D205" s="9">
        <f ca="1">Assumptions!B$3*(1+B205)^24*(1-C205/12)^24</f>
        <v>504588.99409469392</v>
      </c>
      <c r="E205" s="9">
        <f t="shared" ca="1" si="8"/>
        <v>6055067.9291363265</v>
      </c>
    </row>
    <row r="206" spans="1:5" x14ac:dyDescent="0.35">
      <c r="A206">
        <v>193</v>
      </c>
      <c r="B206">
        <f t="shared" ca="1" si="6"/>
        <v>5.3432611694268245E-2</v>
      </c>
      <c r="C206">
        <f t="shared" ca="1" si="7"/>
        <v>0.33750336052134461</v>
      </c>
      <c r="D206" s="9">
        <f ca="1">Assumptions!B$3*(1+B206)^24*(1-C206/12)^24</f>
        <v>802204.22704473988</v>
      </c>
      <c r="E206" s="9">
        <f t="shared" ca="1" si="8"/>
        <v>9626450.724536879</v>
      </c>
    </row>
    <row r="207" spans="1:5" x14ac:dyDescent="0.35">
      <c r="A207">
        <v>194</v>
      </c>
      <c r="B207">
        <f t="shared" ca="1" si="6"/>
        <v>3.0179399206129987E-2</v>
      </c>
      <c r="C207">
        <f t="shared" ca="1" si="7"/>
        <v>0.20015722920141565</v>
      </c>
      <c r="D207" s="9">
        <f ca="1">Assumptions!B$3*(1+B207)^24*(1-C207/12)^24</f>
        <v>621818.91327060887</v>
      </c>
      <c r="E207" s="9">
        <f t="shared" ca="1" si="8"/>
        <v>7461826.959247306</v>
      </c>
    </row>
    <row r="208" spans="1:5" x14ac:dyDescent="0.35">
      <c r="A208">
        <v>195</v>
      </c>
      <c r="B208">
        <f t="shared" ref="B208:B271" ca="1" si="9">_xlfn.NORM.INV(RAND(), $B$4, $B$5)</f>
        <v>2.2011309923883816E-2</v>
      </c>
      <c r="C208">
        <f t="shared" ref="C208:C271" ca="1" si="10">+_xlfn.NORM.INV(RAND(), $B$6, $B$7)</f>
        <v>0.29220290230988843</v>
      </c>
      <c r="D208" s="9">
        <f ca="1">Assumptions!B$3*(1+B208)^24*(1-C208/12)^24</f>
        <v>425664.38318764546</v>
      </c>
      <c r="E208" s="9">
        <f t="shared" ref="E208:E271" ca="1" si="11">D208*12</f>
        <v>5107972.5982517451</v>
      </c>
    </row>
    <row r="209" spans="1:5" x14ac:dyDescent="0.35">
      <c r="A209">
        <v>196</v>
      </c>
      <c r="B209">
        <f t="shared" ca="1" si="9"/>
        <v>1.4195764759156515E-2</v>
      </c>
      <c r="C209">
        <f t="shared" ca="1" si="10"/>
        <v>0.23755939516331642</v>
      </c>
      <c r="D209" s="9">
        <f ca="1">Assumptions!B$3*(1+B209)^24*(1-C209/12)^24</f>
        <v>395901.94804455963</v>
      </c>
      <c r="E209" s="9">
        <f t="shared" ca="1" si="11"/>
        <v>4750823.3765347153</v>
      </c>
    </row>
    <row r="210" spans="1:5" x14ac:dyDescent="0.35">
      <c r="A210">
        <v>197</v>
      </c>
      <c r="B210">
        <f t="shared" ca="1" si="9"/>
        <v>1.1111161540417656E-2</v>
      </c>
      <c r="C210">
        <f t="shared" ca="1" si="10"/>
        <v>0.23556792450330821</v>
      </c>
      <c r="D210" s="9">
        <f ca="1">Assumptions!B$3*(1+B210)^24*(1-C210/12)^24</f>
        <v>369490.16259275255</v>
      </c>
      <c r="E210" s="9">
        <f t="shared" ca="1" si="11"/>
        <v>4433881.9511130303</v>
      </c>
    </row>
    <row r="211" spans="1:5" x14ac:dyDescent="0.35">
      <c r="A211">
        <v>198</v>
      </c>
      <c r="B211">
        <f t="shared" ca="1" si="9"/>
        <v>1.5235850601402695E-2</v>
      </c>
      <c r="C211">
        <f t="shared" ca="1" si="10"/>
        <v>0.30601999532797641</v>
      </c>
      <c r="D211" s="9">
        <f ca="1">Assumptions!B$3*(1+B211)^24*(1-C211/12)^24</f>
        <v>352719.10923635727</v>
      </c>
      <c r="E211" s="9">
        <f t="shared" ca="1" si="11"/>
        <v>4232629.3108362872</v>
      </c>
    </row>
    <row r="212" spans="1:5" x14ac:dyDescent="0.35">
      <c r="A212">
        <v>199</v>
      </c>
      <c r="B212">
        <f t="shared" ca="1" si="9"/>
        <v>2.2414038697756548E-2</v>
      </c>
      <c r="C212">
        <f t="shared" ca="1" si="10"/>
        <v>0.18910479296574911</v>
      </c>
      <c r="D212" s="9">
        <f ca="1">Assumptions!B$3*(1+B212)^24*(1-C212/12)^24</f>
        <v>530343.02497582545</v>
      </c>
      <c r="E212" s="9">
        <f t="shared" ca="1" si="11"/>
        <v>6364116.2997099049</v>
      </c>
    </row>
    <row r="213" spans="1:5" x14ac:dyDescent="0.35">
      <c r="A213">
        <v>200</v>
      </c>
      <c r="B213">
        <f t="shared" ca="1" si="9"/>
        <v>1.4358921691266957E-2</v>
      </c>
      <c r="C213">
        <f t="shared" ca="1" si="10"/>
        <v>0.28896787806274771</v>
      </c>
      <c r="D213" s="9">
        <f ca="1">Assumptions!B$3*(1+B213)^24*(1-C213/12)^24</f>
        <v>357774.83182823373</v>
      </c>
      <c r="E213" s="9">
        <f t="shared" ca="1" si="11"/>
        <v>4293297.9819388045</v>
      </c>
    </row>
    <row r="214" spans="1:5" x14ac:dyDescent="0.35">
      <c r="A214">
        <v>201</v>
      </c>
      <c r="B214">
        <f t="shared" ca="1" si="9"/>
        <v>3.6614221041345457E-2</v>
      </c>
      <c r="C214">
        <f t="shared" ca="1" si="10"/>
        <v>0.20946964862020395</v>
      </c>
      <c r="D214" s="9">
        <f ca="1">Assumptions!B$3*(1+B214)^24*(1-C214/12)^24</f>
        <v>708497.05244478444</v>
      </c>
      <c r="E214" s="9">
        <f t="shared" ca="1" si="11"/>
        <v>8501964.6293374132</v>
      </c>
    </row>
    <row r="215" spans="1:5" x14ac:dyDescent="0.35">
      <c r="A215">
        <v>202</v>
      </c>
      <c r="B215">
        <f t="shared" ca="1" si="9"/>
        <v>2.6644388556095182E-2</v>
      </c>
      <c r="C215">
        <f t="shared" ca="1" si="10"/>
        <v>0.23719616456521597</v>
      </c>
      <c r="D215" s="9">
        <f ca="1">Assumptions!B$3*(1+B215)^24*(1-C215/12)^24</f>
        <v>530966.82404487627</v>
      </c>
      <c r="E215" s="9">
        <f t="shared" ca="1" si="11"/>
        <v>6371601.8885385152</v>
      </c>
    </row>
    <row r="216" spans="1:5" x14ac:dyDescent="0.35">
      <c r="A216">
        <v>203</v>
      </c>
      <c r="B216">
        <f t="shared" ca="1" si="9"/>
        <v>1.4491548929473602E-2</v>
      </c>
      <c r="C216">
        <f t="shared" ca="1" si="10"/>
        <v>0.18904510215388737</v>
      </c>
      <c r="D216" s="9">
        <f ca="1">Assumptions!B$3*(1+B216)^24*(1-C216/12)^24</f>
        <v>440076.97292174393</v>
      </c>
      <c r="E216" s="9">
        <f t="shared" ca="1" si="11"/>
        <v>5280923.6750609269</v>
      </c>
    </row>
    <row r="217" spans="1:5" x14ac:dyDescent="0.35">
      <c r="A217">
        <v>204</v>
      </c>
      <c r="B217">
        <f t="shared" ca="1" si="9"/>
        <v>4.1153592263728583E-2</v>
      </c>
      <c r="C217">
        <f t="shared" ca="1" si="10"/>
        <v>0.27193524939935659</v>
      </c>
      <c r="D217" s="9">
        <f ca="1">Assumptions!B$3*(1+B217)^24*(1-C217/12)^24</f>
        <v>692649.84228850738</v>
      </c>
      <c r="E217" s="9">
        <f t="shared" ca="1" si="11"/>
        <v>8311798.1074620886</v>
      </c>
    </row>
    <row r="218" spans="1:5" x14ac:dyDescent="0.35">
      <c r="A218">
        <v>205</v>
      </c>
      <c r="B218">
        <f t="shared" ca="1" si="9"/>
        <v>3.5443376502074228E-2</v>
      </c>
      <c r="C218">
        <f t="shared" ca="1" si="10"/>
        <v>0.2481609098943007</v>
      </c>
      <c r="D218" s="9">
        <f ca="1">Assumptions!B$3*(1+B218)^24*(1-C218/12)^24</f>
        <v>637233.42785947002</v>
      </c>
      <c r="E218" s="9">
        <f t="shared" ca="1" si="11"/>
        <v>7646801.1343136402</v>
      </c>
    </row>
    <row r="219" spans="1:5" x14ac:dyDescent="0.35">
      <c r="A219">
        <v>206</v>
      </c>
      <c r="B219">
        <f t="shared" ca="1" si="9"/>
        <v>3.9014945834327776E-2</v>
      </c>
      <c r="C219">
        <f t="shared" ca="1" si="10"/>
        <v>0.38077996802514402</v>
      </c>
      <c r="D219" s="9">
        <f ca="1">Assumptions!B$3*(1+B219)^24*(1-C219/12)^24</f>
        <v>527104.19289469125</v>
      </c>
      <c r="E219" s="9">
        <f t="shared" ca="1" si="11"/>
        <v>6325250.3147362955</v>
      </c>
    </row>
    <row r="220" spans="1:5" x14ac:dyDescent="0.35">
      <c r="A220">
        <v>207</v>
      </c>
      <c r="B220">
        <f t="shared" ca="1" si="9"/>
        <v>3.1899277391892557E-2</v>
      </c>
      <c r="C220">
        <f t="shared" ca="1" si="10"/>
        <v>0.29716595762149134</v>
      </c>
      <c r="D220" s="9">
        <f ca="1">Assumptions!B$3*(1+B220)^24*(1-C220/12)^24</f>
        <v>530892.37237116578</v>
      </c>
      <c r="E220" s="9">
        <f t="shared" ca="1" si="11"/>
        <v>6370708.4684539894</v>
      </c>
    </row>
    <row r="221" spans="1:5" x14ac:dyDescent="0.35">
      <c r="A221">
        <v>208</v>
      </c>
      <c r="B221">
        <f t="shared" ca="1" si="9"/>
        <v>2.6683338108072947E-2</v>
      </c>
      <c r="C221">
        <f t="shared" ca="1" si="10"/>
        <v>0.26203205136197361</v>
      </c>
      <c r="D221" s="9">
        <f ca="1">Assumptions!B$3*(1+B221)^24*(1-C221/12)^24</f>
        <v>505163.97511499724</v>
      </c>
      <c r="E221" s="9">
        <f t="shared" ca="1" si="11"/>
        <v>6061967.7013799669</v>
      </c>
    </row>
    <row r="222" spans="1:5" x14ac:dyDescent="0.35">
      <c r="A222">
        <v>209</v>
      </c>
      <c r="B222">
        <f t="shared" ca="1" si="9"/>
        <v>2.8057267083837732E-2</v>
      </c>
      <c r="C222">
        <f t="shared" ca="1" si="10"/>
        <v>0.20560516441216109</v>
      </c>
      <c r="D222" s="9">
        <f ca="1">Assumptions!B$3*(1+B222)^24*(1-C222/12)^24</f>
        <v>585271.32454423024</v>
      </c>
      <c r="E222" s="9">
        <f t="shared" ca="1" si="11"/>
        <v>7023255.8945307629</v>
      </c>
    </row>
    <row r="223" spans="1:5" x14ac:dyDescent="0.35">
      <c r="A223">
        <v>210</v>
      </c>
      <c r="B223">
        <f t="shared" ca="1" si="9"/>
        <v>1.8406987660158879E-2</v>
      </c>
      <c r="C223">
        <f t="shared" ca="1" si="10"/>
        <v>0.33669421922371712</v>
      </c>
      <c r="D223" s="9">
        <f ca="1">Assumptions!B$3*(1+B223)^24*(1-C223/12)^24</f>
        <v>356910.02688376693</v>
      </c>
      <c r="E223" s="9">
        <f t="shared" ca="1" si="11"/>
        <v>4282920.3226052029</v>
      </c>
    </row>
    <row r="224" spans="1:5" x14ac:dyDescent="0.35">
      <c r="A224">
        <v>211</v>
      </c>
      <c r="B224">
        <f t="shared" ca="1" si="9"/>
        <v>2.3327431345709498E-2</v>
      </c>
      <c r="C224">
        <f t="shared" ca="1" si="10"/>
        <v>0.26711156194328356</v>
      </c>
      <c r="D224" s="9">
        <f ca="1">Assumptions!B$3*(1+B224)^24*(1-C224/12)^24</f>
        <v>462163.18352404085</v>
      </c>
      <c r="E224" s="9">
        <f t="shared" ca="1" si="11"/>
        <v>5545958.2022884898</v>
      </c>
    </row>
    <row r="225" spans="1:5" x14ac:dyDescent="0.35">
      <c r="A225">
        <v>212</v>
      </c>
      <c r="B225">
        <f t="shared" ca="1" si="9"/>
        <v>4.0316595428114679E-2</v>
      </c>
      <c r="C225">
        <f t="shared" ca="1" si="10"/>
        <v>0.29357904330284001</v>
      </c>
      <c r="D225" s="9">
        <f ca="1">Assumptions!B$3*(1+B225)^24*(1-C225/12)^24</f>
        <v>649946.93398217263</v>
      </c>
      <c r="E225" s="9">
        <f t="shared" ca="1" si="11"/>
        <v>7799363.207786072</v>
      </c>
    </row>
    <row r="226" spans="1:5" x14ac:dyDescent="0.35">
      <c r="A226">
        <v>213</v>
      </c>
      <c r="B226">
        <f t="shared" ca="1" si="9"/>
        <v>2.7792423362087686E-2</v>
      </c>
      <c r="C226">
        <f t="shared" ca="1" si="10"/>
        <v>0.33622633110514111</v>
      </c>
      <c r="D226" s="9">
        <f ca="1">Assumptions!B$3*(1+B226)^24*(1-C226/12)^24</f>
        <v>445239.68535753328</v>
      </c>
      <c r="E226" s="9">
        <f t="shared" ca="1" si="11"/>
        <v>5342876.2242903989</v>
      </c>
    </row>
    <row r="227" spans="1:5" x14ac:dyDescent="0.35">
      <c r="A227">
        <v>214</v>
      </c>
      <c r="B227">
        <f t="shared" ca="1" si="9"/>
        <v>4.5687851005149424E-3</v>
      </c>
      <c r="C227">
        <f t="shared" ca="1" si="10"/>
        <v>0.29650468672142088</v>
      </c>
      <c r="D227" s="9">
        <f ca="1">Assumptions!B$3*(1+B227)^24*(1-C227/12)^24</f>
        <v>279133.73580208863</v>
      </c>
      <c r="E227" s="9">
        <f t="shared" ca="1" si="11"/>
        <v>3349604.8296250636</v>
      </c>
    </row>
    <row r="228" spans="1:5" x14ac:dyDescent="0.35">
      <c r="A228">
        <v>215</v>
      </c>
      <c r="B228">
        <f t="shared" ca="1" si="9"/>
        <v>2.0634380336662015E-2</v>
      </c>
      <c r="C228">
        <f t="shared" ca="1" si="10"/>
        <v>0.25237627773713028</v>
      </c>
      <c r="D228" s="9">
        <f ca="1">Assumptions!B$3*(1+B228)^24*(1-C228/12)^24</f>
        <v>447106.80558975489</v>
      </c>
      <c r="E228" s="9">
        <f t="shared" ca="1" si="11"/>
        <v>5365281.6670770589</v>
      </c>
    </row>
    <row r="229" spans="1:5" x14ac:dyDescent="0.35">
      <c r="A229">
        <v>216</v>
      </c>
      <c r="B229">
        <f t="shared" ca="1" si="9"/>
        <v>2.4487058183812492E-2</v>
      </c>
      <c r="C229">
        <f t="shared" ca="1" si="10"/>
        <v>0.24152617553016165</v>
      </c>
      <c r="D229" s="9">
        <f ca="1">Assumptions!B$3*(1+B229)^24*(1-C229/12)^24</f>
        <v>500385.10298116959</v>
      </c>
      <c r="E229" s="9">
        <f t="shared" ca="1" si="11"/>
        <v>6004621.2357740346</v>
      </c>
    </row>
    <row r="230" spans="1:5" x14ac:dyDescent="0.35">
      <c r="A230">
        <v>217</v>
      </c>
      <c r="B230">
        <f t="shared" ca="1" si="9"/>
        <v>4.8089352008539386E-2</v>
      </c>
      <c r="C230">
        <f t="shared" ca="1" si="10"/>
        <v>0.31349290312207723</v>
      </c>
      <c r="D230" s="9">
        <f ca="1">Assumptions!B$3*(1+B230)^24*(1-C230/12)^24</f>
        <v>745965.66128613998</v>
      </c>
      <c r="E230" s="9">
        <f t="shared" ca="1" si="11"/>
        <v>8951587.9354336802</v>
      </c>
    </row>
    <row r="231" spans="1:5" x14ac:dyDescent="0.35">
      <c r="A231">
        <v>218</v>
      </c>
      <c r="B231">
        <f t="shared" ca="1" si="9"/>
        <v>1.5873545037261124E-2</v>
      </c>
      <c r="C231">
        <f t="shared" ca="1" si="10"/>
        <v>0.2777111676661379</v>
      </c>
      <c r="D231" s="9">
        <f ca="1">Assumptions!B$3*(1+B231)^24*(1-C231/12)^24</f>
        <v>379468.40649924008</v>
      </c>
      <c r="E231" s="9">
        <f t="shared" ca="1" si="11"/>
        <v>4553620.877990881</v>
      </c>
    </row>
    <row r="232" spans="1:5" x14ac:dyDescent="0.35">
      <c r="A232">
        <v>219</v>
      </c>
      <c r="B232">
        <f t="shared" ca="1" si="9"/>
        <v>2.3877420456870461E-2</v>
      </c>
      <c r="C232">
        <f t="shared" ca="1" si="10"/>
        <v>0.21274094728991011</v>
      </c>
      <c r="D232" s="9">
        <f ca="1">Assumptions!B$3*(1+B232)^24*(1-C232/12)^24</f>
        <v>523100.36938445782</v>
      </c>
      <c r="E232" s="9">
        <f t="shared" ca="1" si="11"/>
        <v>6277204.4326134939</v>
      </c>
    </row>
    <row r="233" spans="1:5" x14ac:dyDescent="0.35">
      <c r="A233">
        <v>220</v>
      </c>
      <c r="B233">
        <f t="shared" ca="1" si="9"/>
        <v>3.0171372704715479E-2</v>
      </c>
      <c r="C233">
        <f t="shared" ca="1" si="10"/>
        <v>0.21161323983524871</v>
      </c>
      <c r="D233" s="9">
        <f ca="1">Assumptions!B$3*(1+B233)^24*(1-C233/12)^24</f>
        <v>607377.14932278136</v>
      </c>
      <c r="E233" s="9">
        <f t="shared" ca="1" si="11"/>
        <v>7288525.7918733768</v>
      </c>
    </row>
    <row r="234" spans="1:5" x14ac:dyDescent="0.35">
      <c r="A234">
        <v>221</v>
      </c>
      <c r="B234">
        <f t="shared" ca="1" si="9"/>
        <v>3.3306399248903662E-2</v>
      </c>
      <c r="C234">
        <f t="shared" ca="1" si="10"/>
        <v>0.2870648585981479</v>
      </c>
      <c r="D234" s="9">
        <f ca="1">Assumptions!B$3*(1+B234)^24*(1-C234/12)^24</f>
        <v>560018.72885782167</v>
      </c>
      <c r="E234" s="9">
        <f t="shared" ca="1" si="11"/>
        <v>6720224.7462938596</v>
      </c>
    </row>
    <row r="235" spans="1:5" x14ac:dyDescent="0.35">
      <c r="A235">
        <v>222</v>
      </c>
      <c r="B235">
        <f t="shared" ca="1" si="9"/>
        <v>2.9100766939899665E-2</v>
      </c>
      <c r="C235">
        <f t="shared" ca="1" si="10"/>
        <v>0.23265003005514939</v>
      </c>
      <c r="D235" s="9">
        <f ca="1">Assumptions!B$3*(1+B235)^24*(1-C235/12)^24</f>
        <v>567549.43450387078</v>
      </c>
      <c r="E235" s="9">
        <f t="shared" ca="1" si="11"/>
        <v>6810593.2140464494</v>
      </c>
    </row>
    <row r="236" spans="1:5" x14ac:dyDescent="0.35">
      <c r="A236">
        <v>223</v>
      </c>
      <c r="B236">
        <f t="shared" ca="1" si="9"/>
        <v>3.9078870458729854E-2</v>
      </c>
      <c r="C236">
        <f t="shared" ca="1" si="10"/>
        <v>0.19543410448751417</v>
      </c>
      <c r="D236" s="9">
        <f ca="1">Assumptions!B$3*(1+B236)^24*(1-C236/12)^24</f>
        <v>771775.16523648857</v>
      </c>
      <c r="E236" s="9">
        <f t="shared" ca="1" si="11"/>
        <v>9261301.9828378633</v>
      </c>
    </row>
    <row r="237" spans="1:5" x14ac:dyDescent="0.35">
      <c r="A237">
        <v>224</v>
      </c>
      <c r="B237">
        <f t="shared" ca="1" si="9"/>
        <v>4.3537722094355157E-2</v>
      </c>
      <c r="C237">
        <f t="shared" ca="1" si="10"/>
        <v>0.22755339915339273</v>
      </c>
      <c r="D237" s="9">
        <f ca="1">Assumptions!B$3*(1+B237)^24*(1-C237/12)^24</f>
        <v>801167.1578756551</v>
      </c>
      <c r="E237" s="9">
        <f t="shared" ca="1" si="11"/>
        <v>9614005.8945078608</v>
      </c>
    </row>
    <row r="238" spans="1:5" x14ac:dyDescent="0.35">
      <c r="A238">
        <v>225</v>
      </c>
      <c r="B238">
        <f t="shared" ca="1" si="9"/>
        <v>2.2567388668703628E-2</v>
      </c>
      <c r="C238">
        <f t="shared" ca="1" si="10"/>
        <v>0.22668895582558374</v>
      </c>
      <c r="D238" s="9">
        <f ca="1">Assumptions!B$3*(1+B238)^24*(1-C238/12)^24</f>
        <v>493059.49088329769</v>
      </c>
      <c r="E238" s="9">
        <f t="shared" ca="1" si="11"/>
        <v>5916713.8905995721</v>
      </c>
    </row>
    <row r="239" spans="1:5" x14ac:dyDescent="0.35">
      <c r="A239">
        <v>226</v>
      </c>
      <c r="B239">
        <f t="shared" ca="1" si="9"/>
        <v>3.7329033096088704E-2</v>
      </c>
      <c r="C239">
        <f t="shared" ca="1" si="10"/>
        <v>0.22240769182779491</v>
      </c>
      <c r="D239" s="9">
        <f ca="1">Assumptions!B$3*(1+B239)^24*(1-C239/12)^24</f>
        <v>701583.18719201908</v>
      </c>
      <c r="E239" s="9">
        <f t="shared" ca="1" si="11"/>
        <v>8418998.2463042289</v>
      </c>
    </row>
    <row r="240" spans="1:5" x14ac:dyDescent="0.35">
      <c r="A240">
        <v>227</v>
      </c>
      <c r="B240">
        <f t="shared" ca="1" si="9"/>
        <v>2.7492602809417909E-2</v>
      </c>
      <c r="C240">
        <f t="shared" ca="1" si="10"/>
        <v>0.28132733162454138</v>
      </c>
      <c r="D240" s="9">
        <f ca="1">Assumptions!B$3*(1+B240)^24*(1-C240/12)^24</f>
        <v>494876.7292216635</v>
      </c>
      <c r="E240" s="9">
        <f t="shared" ca="1" si="11"/>
        <v>5938520.7506599622</v>
      </c>
    </row>
    <row r="241" spans="1:5" x14ac:dyDescent="0.35">
      <c r="A241">
        <v>228</v>
      </c>
      <c r="B241">
        <f t="shared" ca="1" si="9"/>
        <v>3.0988868297528213E-2</v>
      </c>
      <c r="C241">
        <f t="shared" ca="1" si="10"/>
        <v>0.32996913508324188</v>
      </c>
      <c r="D241" s="9">
        <f ca="1">Assumptions!B$3*(1+B241)^24*(1-C241/12)^24</f>
        <v>485902.92526647949</v>
      </c>
      <c r="E241" s="9">
        <f t="shared" ca="1" si="11"/>
        <v>5830835.1031977534</v>
      </c>
    </row>
    <row r="242" spans="1:5" x14ac:dyDescent="0.35">
      <c r="A242">
        <v>229</v>
      </c>
      <c r="B242">
        <f t="shared" ca="1" si="9"/>
        <v>3.661974433638511E-2</v>
      </c>
      <c r="C242">
        <f t="shared" ca="1" si="10"/>
        <v>0.304940676182066</v>
      </c>
      <c r="D242" s="9">
        <f ca="1">Assumptions!B$3*(1+B242)^24*(1-C242/12)^24</f>
        <v>582977.38645345136</v>
      </c>
      <c r="E242" s="9">
        <f t="shared" ca="1" si="11"/>
        <v>6995728.6374414163</v>
      </c>
    </row>
    <row r="243" spans="1:5" x14ac:dyDescent="0.35">
      <c r="A243">
        <v>230</v>
      </c>
      <c r="B243">
        <f t="shared" ca="1" si="9"/>
        <v>7.3490746615165851E-3</v>
      </c>
      <c r="C243">
        <f t="shared" ca="1" si="10"/>
        <v>0.3344660188552484</v>
      </c>
      <c r="D243" s="9">
        <f ca="1">Assumptions!B$3*(1+B243)^24*(1-C243/12)^24</f>
        <v>275903.19607968355</v>
      </c>
      <c r="E243" s="9">
        <f t="shared" ca="1" si="11"/>
        <v>3310838.3529562028</v>
      </c>
    </row>
    <row r="244" spans="1:5" x14ac:dyDescent="0.35">
      <c r="A244">
        <v>231</v>
      </c>
      <c r="B244">
        <f t="shared" ca="1" si="9"/>
        <v>4.955159639723658E-2</v>
      </c>
      <c r="C244">
        <f t="shared" ca="1" si="10"/>
        <v>0.25625509649254358</v>
      </c>
      <c r="D244" s="9">
        <f ca="1">Assumptions!B$3*(1+B244)^24*(1-C244/12)^24</f>
        <v>867312.55569634191</v>
      </c>
      <c r="E244" s="9">
        <f t="shared" ca="1" si="11"/>
        <v>10407750.668356102</v>
      </c>
    </row>
    <row r="245" spans="1:5" x14ac:dyDescent="0.35">
      <c r="A245">
        <v>232</v>
      </c>
      <c r="B245">
        <f t="shared" ca="1" si="9"/>
        <v>2.2131257941062247E-2</v>
      </c>
      <c r="C245">
        <f t="shared" ca="1" si="10"/>
        <v>0.21843359053462386</v>
      </c>
      <c r="D245" s="9">
        <f ca="1">Assumptions!B$3*(1+B245)^24*(1-C245/12)^24</f>
        <v>496316.71366199449</v>
      </c>
      <c r="E245" s="9">
        <f t="shared" ca="1" si="11"/>
        <v>5955800.5639439337</v>
      </c>
    </row>
    <row r="246" spans="1:5" x14ac:dyDescent="0.35">
      <c r="A246">
        <v>233</v>
      </c>
      <c r="B246">
        <f t="shared" ca="1" si="9"/>
        <v>3.1120734362341834E-2</v>
      </c>
      <c r="C246">
        <f t="shared" ca="1" si="10"/>
        <v>0.32303993624764837</v>
      </c>
      <c r="D246" s="9">
        <f ca="1">Assumptions!B$3*(1+B246)^24*(1-C246/12)^24</f>
        <v>494389.83191601245</v>
      </c>
      <c r="E246" s="9">
        <f t="shared" ca="1" si="11"/>
        <v>5932677.9829921499</v>
      </c>
    </row>
    <row r="247" spans="1:5" x14ac:dyDescent="0.35">
      <c r="A247">
        <v>234</v>
      </c>
      <c r="B247">
        <f t="shared" ca="1" si="9"/>
        <v>2.0985805664404149E-2</v>
      </c>
      <c r="C247">
        <f t="shared" ca="1" si="10"/>
        <v>0.28064579217728758</v>
      </c>
      <c r="D247" s="9">
        <f ca="1">Assumptions!B$3*(1+B247)^24*(1-C247/12)^24</f>
        <v>425487.89822233887</v>
      </c>
      <c r="E247" s="9">
        <f t="shared" ca="1" si="11"/>
        <v>5105854.7786680665</v>
      </c>
    </row>
    <row r="248" spans="1:5" x14ac:dyDescent="0.35">
      <c r="A248">
        <v>235</v>
      </c>
      <c r="B248">
        <f t="shared" ca="1" si="9"/>
        <v>2.5928864220040419E-2</v>
      </c>
      <c r="C248">
        <f t="shared" ca="1" si="10"/>
        <v>0.19091678790711336</v>
      </c>
      <c r="D248" s="9">
        <f ca="1">Assumptions!B$3*(1+B248)^24*(1-C248/12)^24</f>
        <v>573757.44154722232</v>
      </c>
      <c r="E248" s="9">
        <f t="shared" ca="1" si="11"/>
        <v>6885089.2985666674</v>
      </c>
    </row>
    <row r="249" spans="1:5" x14ac:dyDescent="0.35">
      <c r="A249">
        <v>236</v>
      </c>
      <c r="B249">
        <f t="shared" ca="1" si="9"/>
        <v>4.481776426889892E-2</v>
      </c>
      <c r="C249">
        <f t="shared" ca="1" si="10"/>
        <v>0.39294120750907624</v>
      </c>
      <c r="D249" s="9">
        <f ca="1">Assumptions!B$3*(1+B249)^24*(1-C249/12)^24</f>
        <v>587532.02884458378</v>
      </c>
      <c r="E249" s="9">
        <f t="shared" ca="1" si="11"/>
        <v>7050384.3461350054</v>
      </c>
    </row>
    <row r="250" spans="1:5" x14ac:dyDescent="0.35">
      <c r="A250">
        <v>237</v>
      </c>
      <c r="B250">
        <f t="shared" ca="1" si="9"/>
        <v>3.9515033091249568E-2</v>
      </c>
      <c r="C250">
        <f t="shared" ca="1" si="10"/>
        <v>0.17606657488379701</v>
      </c>
      <c r="D250" s="9">
        <f ca="1">Assumptions!B$3*(1+B250)^24*(1-C250/12)^24</f>
        <v>810871.38547483343</v>
      </c>
      <c r="E250" s="9">
        <f t="shared" ca="1" si="11"/>
        <v>9730456.6256980002</v>
      </c>
    </row>
    <row r="251" spans="1:5" x14ac:dyDescent="0.35">
      <c r="A251">
        <v>238</v>
      </c>
      <c r="B251">
        <f t="shared" ca="1" si="9"/>
        <v>2.3920867464822252E-2</v>
      </c>
      <c r="C251">
        <f t="shared" ca="1" si="10"/>
        <v>0.24948369277898094</v>
      </c>
      <c r="D251" s="9">
        <f ca="1">Assumptions!B$3*(1+B251)^24*(1-C251/12)^24</f>
        <v>485832.1131291585</v>
      </c>
      <c r="E251" s="9">
        <f t="shared" ca="1" si="11"/>
        <v>5829985.3575499021</v>
      </c>
    </row>
    <row r="252" spans="1:5" x14ac:dyDescent="0.35">
      <c r="A252">
        <v>239</v>
      </c>
      <c r="B252">
        <f t="shared" ca="1" si="9"/>
        <v>2.0004452545269703E-2</v>
      </c>
      <c r="C252">
        <f t="shared" ca="1" si="10"/>
        <v>0.38245983754448587</v>
      </c>
      <c r="D252" s="9">
        <f ca="1">Assumptions!B$3*(1+B252)^24*(1-C252/12)^24</f>
        <v>337222.05868108547</v>
      </c>
      <c r="E252" s="9">
        <f t="shared" ca="1" si="11"/>
        <v>4046664.7041730257</v>
      </c>
    </row>
    <row r="253" spans="1:5" x14ac:dyDescent="0.35">
      <c r="A253">
        <v>240</v>
      </c>
      <c r="B253">
        <f t="shared" ca="1" si="9"/>
        <v>2.8673050302305825E-2</v>
      </c>
      <c r="C253">
        <f t="shared" ca="1" si="10"/>
        <v>0.29301981805898902</v>
      </c>
      <c r="D253" s="9">
        <f ca="1">Assumptions!B$3*(1+B253)^24*(1-C253/12)^24</f>
        <v>496660.77274770022</v>
      </c>
      <c r="E253" s="9">
        <f t="shared" ca="1" si="11"/>
        <v>5959929.2729724031</v>
      </c>
    </row>
    <row r="254" spans="1:5" x14ac:dyDescent="0.35">
      <c r="A254">
        <v>241</v>
      </c>
      <c r="B254">
        <f t="shared" ca="1" si="9"/>
        <v>2.2478303783353623E-2</v>
      </c>
      <c r="C254">
        <f t="shared" ca="1" si="10"/>
        <v>0.25733753560884604</v>
      </c>
      <c r="D254" s="9">
        <f ca="1">Assumptions!B$3*(1+B254)^24*(1-C254/12)^24</f>
        <v>462191.83285098814</v>
      </c>
      <c r="E254" s="9">
        <f t="shared" ca="1" si="11"/>
        <v>5546301.9942118581</v>
      </c>
    </row>
    <row r="255" spans="1:5" x14ac:dyDescent="0.35">
      <c r="A255">
        <v>242</v>
      </c>
      <c r="B255">
        <f t="shared" ca="1" si="9"/>
        <v>3.1396400599100836E-2</v>
      </c>
      <c r="C255">
        <f t="shared" ca="1" si="10"/>
        <v>0.2033515494351068</v>
      </c>
      <c r="D255" s="9">
        <f ca="1">Assumptions!B$3*(1+B255)^24*(1-C255/12)^24</f>
        <v>635547.39531201951</v>
      </c>
      <c r="E255" s="9">
        <f t="shared" ca="1" si="11"/>
        <v>7626568.7437442336</v>
      </c>
    </row>
    <row r="256" spans="1:5" x14ac:dyDescent="0.35">
      <c r="A256">
        <v>243</v>
      </c>
      <c r="B256">
        <f t="shared" ca="1" si="9"/>
        <v>4.3701476525922267E-2</v>
      </c>
      <c r="C256">
        <f t="shared" ca="1" si="10"/>
        <v>0.31095731289031636</v>
      </c>
      <c r="D256" s="9">
        <f ca="1">Assumptions!B$3*(1+B256)^24*(1-C256/12)^24</f>
        <v>678034.50117854273</v>
      </c>
      <c r="E256" s="9">
        <f t="shared" ca="1" si="11"/>
        <v>8136414.0141425133</v>
      </c>
    </row>
    <row r="257" spans="1:5" x14ac:dyDescent="0.35">
      <c r="A257">
        <v>244</v>
      </c>
      <c r="B257">
        <f t="shared" ca="1" si="9"/>
        <v>2.0199973507243639E-2</v>
      </c>
      <c r="C257">
        <f t="shared" ca="1" si="10"/>
        <v>0.24085669229623685</v>
      </c>
      <c r="D257" s="9">
        <f ca="1">Assumptions!B$3*(1+B257)^24*(1-C257/12)^24</f>
        <v>453095.50930413068</v>
      </c>
      <c r="E257" s="9">
        <f t="shared" ca="1" si="11"/>
        <v>5437146.1116495682</v>
      </c>
    </row>
    <row r="258" spans="1:5" x14ac:dyDescent="0.35">
      <c r="A258">
        <v>245</v>
      </c>
      <c r="B258">
        <f t="shared" ca="1" si="9"/>
        <v>3.0937130430965611E-2</v>
      </c>
      <c r="C258">
        <f t="shared" ca="1" si="10"/>
        <v>0.27879182371645056</v>
      </c>
      <c r="D258" s="9">
        <f ca="1">Assumptions!B$3*(1+B258)^24*(1-C258/12)^24</f>
        <v>539057.92461163772</v>
      </c>
      <c r="E258" s="9">
        <f t="shared" ca="1" si="11"/>
        <v>6468695.0953396522</v>
      </c>
    </row>
    <row r="259" spans="1:5" x14ac:dyDescent="0.35">
      <c r="A259">
        <v>246</v>
      </c>
      <c r="B259">
        <f t="shared" ca="1" si="9"/>
        <v>2.0227592137731905E-2</v>
      </c>
      <c r="C259">
        <f t="shared" ca="1" si="10"/>
        <v>0.33701211803806197</v>
      </c>
      <c r="D259" s="9">
        <f ca="1">Assumptions!B$3*(1+B259)^24*(1-C259/12)^24</f>
        <v>372298.5250616672</v>
      </c>
      <c r="E259" s="9">
        <f t="shared" ca="1" si="11"/>
        <v>4467582.3007400064</v>
      </c>
    </row>
    <row r="260" spans="1:5" x14ac:dyDescent="0.35">
      <c r="A260">
        <v>247</v>
      </c>
      <c r="B260">
        <f t="shared" ca="1" si="9"/>
        <v>1.7394384472101697E-2</v>
      </c>
      <c r="C260">
        <f t="shared" ca="1" si="10"/>
        <v>0.38019884913213581</v>
      </c>
      <c r="D260" s="9">
        <f ca="1">Assumptions!B$3*(1+B260)^24*(1-C260/12)^24</f>
        <v>318594.84720393858</v>
      </c>
      <c r="E260" s="9">
        <f t="shared" ca="1" si="11"/>
        <v>3823138.1664472632</v>
      </c>
    </row>
    <row r="261" spans="1:5" x14ac:dyDescent="0.35">
      <c r="A261">
        <v>248</v>
      </c>
      <c r="B261">
        <f t="shared" ca="1" si="9"/>
        <v>3.8322724912912109E-2</v>
      </c>
      <c r="C261">
        <f t="shared" ca="1" si="10"/>
        <v>0.27926922881514021</v>
      </c>
      <c r="D261" s="9">
        <f ca="1">Assumptions!B$3*(1+B261)^24*(1-C261/12)^24</f>
        <v>639168.19656892226</v>
      </c>
      <c r="E261" s="9">
        <f t="shared" ca="1" si="11"/>
        <v>7670018.3588270675</v>
      </c>
    </row>
    <row r="262" spans="1:5" x14ac:dyDescent="0.35">
      <c r="A262">
        <v>249</v>
      </c>
      <c r="B262">
        <f t="shared" ca="1" si="9"/>
        <v>4.6226626556679973E-2</v>
      </c>
      <c r="C262">
        <f t="shared" ca="1" si="10"/>
        <v>0.31294593424921324</v>
      </c>
      <c r="D262" s="9">
        <f ca="1">Assumptions!B$3*(1+B262)^24*(1-C262/12)^24</f>
        <v>715592.3622929441</v>
      </c>
      <c r="E262" s="9">
        <f t="shared" ca="1" si="11"/>
        <v>8587108.3475153297</v>
      </c>
    </row>
    <row r="263" spans="1:5" x14ac:dyDescent="0.35">
      <c r="A263">
        <v>250</v>
      </c>
      <c r="B263">
        <f t="shared" ca="1" si="9"/>
        <v>3.5850090543806307E-2</v>
      </c>
      <c r="C263">
        <f t="shared" ca="1" si="10"/>
        <v>0.22068150348221288</v>
      </c>
      <c r="D263" s="9">
        <f ca="1">Assumptions!B$3*(1+B263)^24*(1-C263/12)^24</f>
        <v>680355.2264732552</v>
      </c>
      <c r="E263" s="9">
        <f t="shared" ca="1" si="11"/>
        <v>8164262.7176790629</v>
      </c>
    </row>
    <row r="264" spans="1:5" x14ac:dyDescent="0.35">
      <c r="A264">
        <v>251</v>
      </c>
      <c r="B264">
        <f t="shared" ca="1" si="9"/>
        <v>2.1008738625569026E-2</v>
      </c>
      <c r="C264">
        <f t="shared" ca="1" si="10"/>
        <v>0.27373498344628805</v>
      </c>
      <c r="D264" s="9">
        <f ca="1">Assumptions!B$3*(1+B264)^24*(1-C264/12)^24</f>
        <v>431783.37413320894</v>
      </c>
      <c r="E264" s="9">
        <f t="shared" ca="1" si="11"/>
        <v>5181400.4895985071</v>
      </c>
    </row>
    <row r="265" spans="1:5" x14ac:dyDescent="0.35">
      <c r="A265">
        <v>252</v>
      </c>
      <c r="B265">
        <f t="shared" ca="1" si="9"/>
        <v>3.2737292171796328E-2</v>
      </c>
      <c r="C265">
        <f t="shared" ca="1" si="10"/>
        <v>0.31012216062467057</v>
      </c>
      <c r="D265" s="9">
        <f ca="1">Assumptions!B$3*(1+B265)^24*(1-C265/12)^24</f>
        <v>527135.12018060149</v>
      </c>
      <c r="E265" s="9">
        <f t="shared" ca="1" si="11"/>
        <v>6325621.4421672178</v>
      </c>
    </row>
    <row r="266" spans="1:5" x14ac:dyDescent="0.35">
      <c r="A266">
        <v>253</v>
      </c>
      <c r="B266">
        <f t="shared" ca="1" si="9"/>
        <v>2.7291356201889914E-2</v>
      </c>
      <c r="C266">
        <f t="shared" ca="1" si="10"/>
        <v>0.21697057588882662</v>
      </c>
      <c r="D266" s="9">
        <f ca="1">Assumptions!B$3*(1+B266)^24*(1-C266/12)^24</f>
        <v>561746.37601835653</v>
      </c>
      <c r="E266" s="9">
        <f t="shared" ca="1" si="11"/>
        <v>6740956.5122202784</v>
      </c>
    </row>
    <row r="267" spans="1:5" x14ac:dyDescent="0.35">
      <c r="A267">
        <v>254</v>
      </c>
      <c r="B267">
        <f t="shared" ca="1" si="9"/>
        <v>3.2750129775333259E-2</v>
      </c>
      <c r="C267">
        <f t="shared" ca="1" si="10"/>
        <v>0.32249200014608526</v>
      </c>
      <c r="D267" s="9">
        <f ca="1">Assumptions!B$3*(1+B267)^24*(1-C267/12)^24</f>
        <v>514062.98538737831</v>
      </c>
      <c r="E267" s="9">
        <f t="shared" ca="1" si="11"/>
        <v>6168755.8246485395</v>
      </c>
    </row>
    <row r="268" spans="1:5" x14ac:dyDescent="0.35">
      <c r="A268">
        <v>255</v>
      </c>
      <c r="B268">
        <f t="shared" ca="1" si="9"/>
        <v>4.2983172625678009E-2</v>
      </c>
      <c r="C268">
        <f t="shared" ca="1" si="10"/>
        <v>0.26034827514251119</v>
      </c>
      <c r="D268" s="9">
        <f ca="1">Assumptions!B$3*(1+B268)^24*(1-C268/12)^24</f>
        <v>739786.37087401934</v>
      </c>
      <c r="E268" s="9">
        <f t="shared" ca="1" si="11"/>
        <v>8877436.4504882321</v>
      </c>
    </row>
    <row r="269" spans="1:5" x14ac:dyDescent="0.35">
      <c r="A269">
        <v>256</v>
      </c>
      <c r="B269">
        <f t="shared" ca="1" si="9"/>
        <v>3.1064193734267873E-2</v>
      </c>
      <c r="C269">
        <f t="shared" ca="1" si="10"/>
        <v>0.29359471361775097</v>
      </c>
      <c r="D269" s="9">
        <f ca="1">Assumptions!B$3*(1+B269)^24*(1-C269/12)^24</f>
        <v>524503.31103102886</v>
      </c>
      <c r="E269" s="9">
        <f t="shared" ca="1" si="11"/>
        <v>6294039.7323723463</v>
      </c>
    </row>
    <row r="270" spans="1:5" x14ac:dyDescent="0.35">
      <c r="A270">
        <v>257</v>
      </c>
      <c r="B270">
        <f t="shared" ca="1" si="9"/>
        <v>3.4537330248890434E-2</v>
      </c>
      <c r="C270">
        <f t="shared" ca="1" si="10"/>
        <v>0.25462883682006565</v>
      </c>
      <c r="D270" s="9">
        <f ca="1">Assumptions!B$3*(1+B270)^24*(1-C270/12)^24</f>
        <v>615794.57035200985</v>
      </c>
      <c r="E270" s="9">
        <f t="shared" ca="1" si="11"/>
        <v>7389534.8442241177</v>
      </c>
    </row>
    <row r="271" spans="1:5" x14ac:dyDescent="0.35">
      <c r="A271">
        <v>258</v>
      </c>
      <c r="B271">
        <f t="shared" ca="1" si="9"/>
        <v>3.5697217403754339E-2</v>
      </c>
      <c r="C271">
        <f t="shared" ca="1" si="10"/>
        <v>0.27892012798291571</v>
      </c>
      <c r="D271" s="9">
        <f ca="1">Assumptions!B$3*(1+B271)^24*(1-C271/12)^24</f>
        <v>601916.72287529812</v>
      </c>
      <c r="E271" s="9">
        <f t="shared" ca="1" si="11"/>
        <v>7223000.6745035779</v>
      </c>
    </row>
    <row r="272" spans="1:5" x14ac:dyDescent="0.35">
      <c r="A272">
        <v>259</v>
      </c>
      <c r="B272">
        <f t="shared" ref="B272:B335" ca="1" si="12">_xlfn.NORM.INV(RAND(), $B$4, $B$5)</f>
        <v>2.0645437690490816E-2</v>
      </c>
      <c r="C272">
        <f t="shared" ref="C272:C335" ca="1" si="13">+_xlfn.NORM.INV(RAND(), $B$6, $B$7)</f>
        <v>0.22503888752584536</v>
      </c>
      <c r="D272" s="9">
        <f ca="1">Assumptions!B$3*(1+B272)^24*(1-C272/12)^24</f>
        <v>472880.1630721871</v>
      </c>
      <c r="E272" s="9">
        <f t="shared" ref="E272:E335" ca="1" si="14">D272*12</f>
        <v>5674561.9568662457</v>
      </c>
    </row>
    <row r="273" spans="1:5" x14ac:dyDescent="0.35">
      <c r="A273">
        <v>260</v>
      </c>
      <c r="B273">
        <f t="shared" ca="1" si="12"/>
        <v>2.9541513210352123E-2</v>
      </c>
      <c r="C273">
        <f t="shared" ca="1" si="13"/>
        <v>0.2954897132188512</v>
      </c>
      <c r="D273" s="9">
        <f ca="1">Assumptions!B$3*(1+B273)^24*(1-C273/12)^24</f>
        <v>504262.44790368812</v>
      </c>
      <c r="E273" s="9">
        <f t="shared" ca="1" si="14"/>
        <v>6051149.3748442577</v>
      </c>
    </row>
    <row r="274" spans="1:5" x14ac:dyDescent="0.35">
      <c r="A274">
        <v>261</v>
      </c>
      <c r="B274">
        <f t="shared" ca="1" si="12"/>
        <v>3.3200334173760705E-2</v>
      </c>
      <c r="C274">
        <f t="shared" ca="1" si="13"/>
        <v>0.22696582962795328</v>
      </c>
      <c r="D274" s="9">
        <f ca="1">Assumptions!B$3*(1+B274)^24*(1-C274/12)^24</f>
        <v>631650.13470146817</v>
      </c>
      <c r="E274" s="9">
        <f t="shared" ca="1" si="14"/>
        <v>7579801.6164176185</v>
      </c>
    </row>
    <row r="275" spans="1:5" x14ac:dyDescent="0.35">
      <c r="A275">
        <v>262</v>
      </c>
      <c r="B275">
        <f t="shared" ca="1" si="12"/>
        <v>3.564584343190199E-2</v>
      </c>
      <c r="C275">
        <f t="shared" ca="1" si="13"/>
        <v>0.34322974390915251</v>
      </c>
      <c r="D275" s="9">
        <f ca="1">Assumptions!B$3*(1+B275)^24*(1-C275/12)^24</f>
        <v>526834.31784956809</v>
      </c>
      <c r="E275" s="9">
        <f t="shared" ca="1" si="14"/>
        <v>6322011.8141948171</v>
      </c>
    </row>
    <row r="276" spans="1:5" x14ac:dyDescent="0.35">
      <c r="A276">
        <v>263</v>
      </c>
      <c r="B276">
        <f t="shared" ca="1" si="12"/>
        <v>1.6620662597261179E-2</v>
      </c>
      <c r="C276">
        <f t="shared" ca="1" si="13"/>
        <v>0.15837660525705879</v>
      </c>
      <c r="D276" s="9">
        <f ca="1">Assumptions!B$3*(1+B276)^24*(1-C276/12)^24</f>
        <v>492504.52806563675</v>
      </c>
      <c r="E276" s="9">
        <f t="shared" ca="1" si="14"/>
        <v>5910054.336787641</v>
      </c>
    </row>
    <row r="277" spans="1:5" x14ac:dyDescent="0.35">
      <c r="A277">
        <v>264</v>
      </c>
      <c r="B277">
        <f t="shared" ca="1" si="12"/>
        <v>2.0869349589429598E-2</v>
      </c>
      <c r="C277">
        <f t="shared" ca="1" si="13"/>
        <v>0.38012515255178253</v>
      </c>
      <c r="D277" s="9">
        <f ca="1">Assumptions!B$3*(1+B277)^24*(1-C277/12)^24</f>
        <v>345815.7273482653</v>
      </c>
      <c r="E277" s="9">
        <f t="shared" ca="1" si="14"/>
        <v>4149788.7281791838</v>
      </c>
    </row>
    <row r="278" spans="1:5" x14ac:dyDescent="0.35">
      <c r="A278">
        <v>265</v>
      </c>
      <c r="B278">
        <f t="shared" ca="1" si="12"/>
        <v>2.942336475491061E-2</v>
      </c>
      <c r="C278">
        <f t="shared" ca="1" si="13"/>
        <v>0.32322508286533114</v>
      </c>
      <c r="D278" s="9">
        <f ca="1">Assumptions!B$3*(1+B278)^24*(1-C278/12)^24</f>
        <v>475042.31006459467</v>
      </c>
      <c r="E278" s="9">
        <f t="shared" ca="1" si="14"/>
        <v>5700507.7207751358</v>
      </c>
    </row>
    <row r="279" spans="1:5" x14ac:dyDescent="0.35">
      <c r="A279">
        <v>266</v>
      </c>
      <c r="B279">
        <f t="shared" ca="1" si="12"/>
        <v>2.3071965258386597E-2</v>
      </c>
      <c r="C279">
        <f t="shared" ca="1" si="13"/>
        <v>0.26269922780450972</v>
      </c>
      <c r="D279" s="9">
        <f ca="1">Assumptions!B$3*(1+B279)^24*(1-C279/12)^24</f>
        <v>463566.45196975744</v>
      </c>
      <c r="E279" s="9">
        <f t="shared" ca="1" si="14"/>
        <v>5562797.4236370893</v>
      </c>
    </row>
    <row r="280" spans="1:5" x14ac:dyDescent="0.35">
      <c r="A280">
        <v>267</v>
      </c>
      <c r="B280">
        <f t="shared" ca="1" si="12"/>
        <v>2.5604390657783697E-2</v>
      </c>
      <c r="C280">
        <f t="shared" ca="1" si="13"/>
        <v>0.20391353398515089</v>
      </c>
      <c r="D280" s="9">
        <f ca="1">Assumptions!B$3*(1+B280)^24*(1-C280/12)^24</f>
        <v>554566.48827443796</v>
      </c>
      <c r="E280" s="9">
        <f t="shared" ca="1" si="14"/>
        <v>6654797.859293256</v>
      </c>
    </row>
    <row r="281" spans="1:5" x14ac:dyDescent="0.35">
      <c r="A281">
        <v>268</v>
      </c>
      <c r="B281">
        <f t="shared" ca="1" si="12"/>
        <v>4.1108603630390178E-2</v>
      </c>
      <c r="C281">
        <f t="shared" ca="1" si="13"/>
        <v>0.33733425480770385</v>
      </c>
      <c r="D281" s="9">
        <f ca="1">Assumptions!B$3*(1+B281)^24*(1-C281/12)^24</f>
        <v>605032.51685171458</v>
      </c>
      <c r="E281" s="9">
        <f t="shared" ca="1" si="14"/>
        <v>7260390.202220575</v>
      </c>
    </row>
    <row r="282" spans="1:5" x14ac:dyDescent="0.35">
      <c r="A282">
        <v>269</v>
      </c>
      <c r="B282">
        <f t="shared" ca="1" si="12"/>
        <v>3.0198860961647436E-2</v>
      </c>
      <c r="C282">
        <f t="shared" ca="1" si="13"/>
        <v>0.30411512430362825</v>
      </c>
      <c r="D282" s="9">
        <f ca="1">Assumptions!B$3*(1+B282)^24*(1-C282/12)^24</f>
        <v>503066.70797128993</v>
      </c>
      <c r="E282" s="9">
        <f t="shared" ca="1" si="14"/>
        <v>6036800.4956554789</v>
      </c>
    </row>
    <row r="283" spans="1:5" x14ac:dyDescent="0.35">
      <c r="A283">
        <v>270</v>
      </c>
      <c r="B283">
        <f t="shared" ca="1" si="12"/>
        <v>3.9747439905300802E-2</v>
      </c>
      <c r="C283">
        <f t="shared" ca="1" si="13"/>
        <v>0.23186094891592904</v>
      </c>
      <c r="D283" s="9">
        <f ca="1">Assumptions!B$3*(1+B283)^24*(1-C283/12)^24</f>
        <v>727748.96757923637</v>
      </c>
      <c r="E283" s="9">
        <f t="shared" ca="1" si="14"/>
        <v>8732987.6109508369</v>
      </c>
    </row>
    <row r="284" spans="1:5" x14ac:dyDescent="0.35">
      <c r="A284">
        <v>271</v>
      </c>
      <c r="B284">
        <f t="shared" ca="1" si="12"/>
        <v>3.1422792260796764E-2</v>
      </c>
      <c r="C284">
        <f t="shared" ca="1" si="13"/>
        <v>0.31396405676192185</v>
      </c>
      <c r="D284" s="9">
        <f ca="1">Assumptions!B$3*(1+B284)^24*(1-C284/12)^24</f>
        <v>507248.27554208296</v>
      </c>
      <c r="E284" s="9">
        <f t="shared" ca="1" si="14"/>
        <v>6086979.3065049956</v>
      </c>
    </row>
    <row r="285" spans="1:5" x14ac:dyDescent="0.35">
      <c r="A285">
        <v>272</v>
      </c>
      <c r="B285">
        <f t="shared" ca="1" si="12"/>
        <v>2.6852045868215369E-2</v>
      </c>
      <c r="C285">
        <f t="shared" ca="1" si="13"/>
        <v>0.27246596468246953</v>
      </c>
      <c r="D285" s="9">
        <f ca="1">Assumptions!B$3*(1+B285)^24*(1-C285/12)^24</f>
        <v>496450.28789350559</v>
      </c>
      <c r="E285" s="9">
        <f t="shared" ca="1" si="14"/>
        <v>5957403.4547220673</v>
      </c>
    </row>
    <row r="286" spans="1:5" x14ac:dyDescent="0.35">
      <c r="A286">
        <v>273</v>
      </c>
      <c r="B286">
        <f t="shared" ca="1" si="12"/>
        <v>3.4644176026611656E-2</v>
      </c>
      <c r="C286">
        <f t="shared" ca="1" si="13"/>
        <v>0.20882667978981231</v>
      </c>
      <c r="D286" s="9">
        <f ca="1">Assumptions!B$3*(1+B286)^24*(1-C286/12)^24</f>
        <v>677764.70436393481</v>
      </c>
      <c r="E286" s="9">
        <f t="shared" ca="1" si="14"/>
        <v>8133176.4523672182</v>
      </c>
    </row>
    <row r="287" spans="1:5" x14ac:dyDescent="0.35">
      <c r="A287">
        <v>274</v>
      </c>
      <c r="B287">
        <f t="shared" ca="1" si="12"/>
        <v>3.0585070462601033E-2</v>
      </c>
      <c r="C287">
        <f t="shared" ca="1" si="13"/>
        <v>0.3457446374771444</v>
      </c>
      <c r="D287" s="9">
        <f ca="1">Assumptions!B$3*(1+B287)^24*(1-C287/12)^24</f>
        <v>465979.71752040676</v>
      </c>
      <c r="E287" s="9">
        <f t="shared" ca="1" si="14"/>
        <v>5591756.6102448814</v>
      </c>
    </row>
    <row r="288" spans="1:5" x14ac:dyDescent="0.35">
      <c r="A288">
        <v>275</v>
      </c>
      <c r="B288">
        <f t="shared" ca="1" si="12"/>
        <v>1.7133386539232791E-2</v>
      </c>
      <c r="C288">
        <f t="shared" ca="1" si="13"/>
        <v>0.21193754029116901</v>
      </c>
      <c r="D288" s="9">
        <f ca="1">Assumptions!B$3*(1+B288)^24*(1-C288/12)^24</f>
        <v>447109.69826136332</v>
      </c>
      <c r="E288" s="9">
        <f t="shared" ca="1" si="14"/>
        <v>5365316.3791363593</v>
      </c>
    </row>
    <row r="289" spans="1:5" x14ac:dyDescent="0.35">
      <c r="A289">
        <v>276</v>
      </c>
      <c r="B289">
        <f t="shared" ca="1" si="12"/>
        <v>4.5504529296179305E-2</v>
      </c>
      <c r="C289">
        <f t="shared" ca="1" si="13"/>
        <v>0.15407882062911199</v>
      </c>
      <c r="D289" s="9">
        <f ca="1">Assumptions!B$3*(1+B289)^24*(1-C289/12)^24</f>
        <v>973195.62016320368</v>
      </c>
      <c r="E289" s="9">
        <f t="shared" ca="1" si="14"/>
        <v>11678347.441958444</v>
      </c>
    </row>
    <row r="290" spans="1:5" x14ac:dyDescent="0.35">
      <c r="A290">
        <v>277</v>
      </c>
      <c r="B290">
        <f t="shared" ca="1" si="12"/>
        <v>3.3594720977721475E-2</v>
      </c>
      <c r="C290">
        <f t="shared" ca="1" si="13"/>
        <v>0.1543212595765964</v>
      </c>
      <c r="D290" s="9">
        <f ca="1">Assumptions!B$3*(1+B290)^24*(1-C290/12)^24</f>
        <v>738875.99828229437</v>
      </c>
      <c r="E290" s="9">
        <f t="shared" ca="1" si="14"/>
        <v>8866511.9793875329</v>
      </c>
    </row>
    <row r="291" spans="1:5" x14ac:dyDescent="0.35">
      <c r="A291">
        <v>278</v>
      </c>
      <c r="B291">
        <f t="shared" ca="1" si="12"/>
        <v>4.4669158977128559E-2</v>
      </c>
      <c r="C291">
        <f t="shared" ca="1" si="13"/>
        <v>0.2309267376223664</v>
      </c>
      <c r="D291" s="9">
        <f ca="1">Assumptions!B$3*(1+B291)^24*(1-C291/12)^24</f>
        <v>816640.52949337964</v>
      </c>
      <c r="E291" s="9">
        <f t="shared" ca="1" si="14"/>
        <v>9799686.3539205566</v>
      </c>
    </row>
    <row r="292" spans="1:5" x14ac:dyDescent="0.35">
      <c r="A292">
        <v>279</v>
      </c>
      <c r="B292">
        <f t="shared" ca="1" si="12"/>
        <v>3.0652264141971211E-2</v>
      </c>
      <c r="C292">
        <f t="shared" ca="1" si="13"/>
        <v>0.30281380242417127</v>
      </c>
      <c r="D292" s="9">
        <f ca="1">Assumptions!B$3*(1+B292)^24*(1-C292/12)^24</f>
        <v>509766.7772778215</v>
      </c>
      <c r="E292" s="9">
        <f t="shared" ca="1" si="14"/>
        <v>6117201.3273338582</v>
      </c>
    </row>
    <row r="293" spans="1:5" x14ac:dyDescent="0.35">
      <c r="A293">
        <v>280</v>
      </c>
      <c r="B293">
        <f t="shared" ca="1" si="12"/>
        <v>2.3692546245207599E-2</v>
      </c>
      <c r="C293">
        <f t="shared" ca="1" si="13"/>
        <v>0.2218649628945138</v>
      </c>
      <c r="D293" s="9">
        <f ca="1">Assumptions!B$3*(1+B293)^24*(1-C293/12)^24</f>
        <v>511248.04573447921</v>
      </c>
      <c r="E293" s="9">
        <f t="shared" ca="1" si="14"/>
        <v>6134976.548813751</v>
      </c>
    </row>
    <row r="294" spans="1:5" x14ac:dyDescent="0.35">
      <c r="A294">
        <v>281</v>
      </c>
      <c r="B294">
        <f t="shared" ca="1" si="12"/>
        <v>2.2364687388233183E-2</v>
      </c>
      <c r="C294">
        <f t="shared" ca="1" si="13"/>
        <v>0.22836345716629616</v>
      </c>
      <c r="D294" s="9">
        <f ca="1">Assumptions!B$3*(1+B294)^24*(1-C294/12)^24</f>
        <v>489046.79024040449</v>
      </c>
      <c r="E294" s="9">
        <f t="shared" ca="1" si="14"/>
        <v>5868561.4828848541</v>
      </c>
    </row>
    <row r="295" spans="1:5" x14ac:dyDescent="0.35">
      <c r="A295">
        <v>282</v>
      </c>
      <c r="B295">
        <f t="shared" ca="1" si="12"/>
        <v>3.6287633457175165E-2</v>
      </c>
      <c r="C295">
        <f t="shared" ca="1" si="13"/>
        <v>0.29165709185101674</v>
      </c>
      <c r="D295" s="9">
        <f ca="1">Assumptions!B$3*(1+B295)^24*(1-C295/12)^24</f>
        <v>594489.16858233069</v>
      </c>
      <c r="E295" s="9">
        <f t="shared" ca="1" si="14"/>
        <v>7133870.0229879683</v>
      </c>
    </row>
    <row r="296" spans="1:5" x14ac:dyDescent="0.35">
      <c r="A296">
        <v>283</v>
      </c>
      <c r="B296">
        <f t="shared" ca="1" si="12"/>
        <v>1.9241414251168952E-2</v>
      </c>
      <c r="C296">
        <f t="shared" ca="1" si="13"/>
        <v>0.30881490894399494</v>
      </c>
      <c r="D296" s="9">
        <f ca="1">Assumptions!B$3*(1+B296)^24*(1-C296/12)^24</f>
        <v>385460.89400527667</v>
      </c>
      <c r="E296" s="9">
        <f t="shared" ca="1" si="14"/>
        <v>4625530.7280633198</v>
      </c>
    </row>
    <row r="297" spans="1:5" x14ac:dyDescent="0.35">
      <c r="A297">
        <v>284</v>
      </c>
      <c r="B297">
        <f t="shared" ca="1" si="12"/>
        <v>9.6953383241848295E-3</v>
      </c>
      <c r="C297">
        <f t="shared" ca="1" si="13"/>
        <v>0.34252085756823142</v>
      </c>
      <c r="D297" s="9">
        <f ca="1">Assumptions!B$3*(1+B297)^24*(1-C297/12)^24</f>
        <v>286949.8031987822</v>
      </c>
      <c r="E297" s="9">
        <f t="shared" ca="1" si="14"/>
        <v>3443397.6383853862</v>
      </c>
    </row>
    <row r="298" spans="1:5" x14ac:dyDescent="0.35">
      <c r="A298">
        <v>285</v>
      </c>
      <c r="B298">
        <f t="shared" ca="1" si="12"/>
        <v>2.9805527259697647E-2</v>
      </c>
      <c r="C298">
        <f t="shared" ca="1" si="13"/>
        <v>0.22537956553314692</v>
      </c>
      <c r="D298" s="9">
        <f ca="1">Assumptions!B$3*(1+B298)^24*(1-C298/12)^24</f>
        <v>585567.82319485664</v>
      </c>
      <c r="E298" s="9">
        <f t="shared" ca="1" si="14"/>
        <v>7026813.8783382792</v>
      </c>
    </row>
    <row r="299" spans="1:5" x14ac:dyDescent="0.35">
      <c r="A299">
        <v>286</v>
      </c>
      <c r="B299">
        <f t="shared" ca="1" si="12"/>
        <v>2.2535760236297227E-2</v>
      </c>
      <c r="C299">
        <f t="shared" ca="1" si="13"/>
        <v>0.27097288309457329</v>
      </c>
      <c r="D299" s="9">
        <f ca="1">Assumptions!B$3*(1+B299)^24*(1-C299/12)^24</f>
        <v>450088.44651797228</v>
      </c>
      <c r="E299" s="9">
        <f t="shared" ca="1" si="14"/>
        <v>5401061.3582156673</v>
      </c>
    </row>
    <row r="300" spans="1:5" x14ac:dyDescent="0.35">
      <c r="A300">
        <v>287</v>
      </c>
      <c r="B300">
        <f t="shared" ca="1" si="12"/>
        <v>2.8070676912969751E-2</v>
      </c>
      <c r="C300">
        <f t="shared" ca="1" si="13"/>
        <v>0.27595197966764318</v>
      </c>
      <c r="D300" s="9">
        <f ca="1">Assumptions!B$3*(1+B300)^24*(1-C300/12)^24</f>
        <v>507153.50561005709</v>
      </c>
      <c r="E300" s="9">
        <f t="shared" ca="1" si="14"/>
        <v>6085842.0673206849</v>
      </c>
    </row>
    <row r="301" spans="1:5" x14ac:dyDescent="0.35">
      <c r="A301">
        <v>288</v>
      </c>
      <c r="B301">
        <f t="shared" ca="1" si="12"/>
        <v>3.0052640222804829E-2</v>
      </c>
      <c r="C301">
        <f t="shared" ca="1" si="13"/>
        <v>0.28376912087131029</v>
      </c>
      <c r="D301" s="9">
        <f ca="1">Assumptions!B$3*(1+B301)^24*(1-C301/12)^24</f>
        <v>522711.62009426538</v>
      </c>
      <c r="E301" s="9">
        <f t="shared" ca="1" si="14"/>
        <v>6272539.4411311848</v>
      </c>
    </row>
    <row r="302" spans="1:5" x14ac:dyDescent="0.35">
      <c r="A302">
        <v>289</v>
      </c>
      <c r="B302">
        <f t="shared" ca="1" si="12"/>
        <v>2.5101251541576074E-2</v>
      </c>
      <c r="C302">
        <f t="shared" ca="1" si="13"/>
        <v>0.27822230644521234</v>
      </c>
      <c r="D302" s="9">
        <f ca="1">Assumptions!B$3*(1+B302)^24*(1-C302/12)^24</f>
        <v>470946.78667332284</v>
      </c>
      <c r="E302" s="9">
        <f t="shared" ca="1" si="14"/>
        <v>5651361.4400798744</v>
      </c>
    </row>
    <row r="303" spans="1:5" x14ac:dyDescent="0.35">
      <c r="A303">
        <v>290</v>
      </c>
      <c r="B303">
        <f t="shared" ca="1" si="12"/>
        <v>3.1766349720709929E-2</v>
      </c>
      <c r="C303">
        <f t="shared" ca="1" si="13"/>
        <v>0.32583547456687473</v>
      </c>
      <c r="D303" s="9">
        <f ca="1">Assumptions!B$3*(1+B303)^24*(1-C303/12)^24</f>
        <v>498997.11319362361</v>
      </c>
      <c r="E303" s="9">
        <f t="shared" ca="1" si="14"/>
        <v>5987965.3583234828</v>
      </c>
    </row>
    <row r="304" spans="1:5" x14ac:dyDescent="0.35">
      <c r="A304">
        <v>291</v>
      </c>
      <c r="B304">
        <f t="shared" ca="1" si="12"/>
        <v>3.7106716677658524E-2</v>
      </c>
      <c r="C304">
        <f t="shared" ca="1" si="13"/>
        <v>0.225817387365848</v>
      </c>
      <c r="D304" s="9">
        <f ca="1">Assumptions!B$3*(1+B304)^24*(1-C304/12)^24</f>
        <v>693149.81766633631</v>
      </c>
      <c r="E304" s="9">
        <f t="shared" ca="1" si="14"/>
        <v>8317797.8119960353</v>
      </c>
    </row>
    <row r="305" spans="1:5" x14ac:dyDescent="0.35">
      <c r="A305">
        <v>292</v>
      </c>
      <c r="B305">
        <f t="shared" ca="1" si="12"/>
        <v>3.4004237457073351E-2</v>
      </c>
      <c r="C305">
        <f t="shared" ca="1" si="13"/>
        <v>0.20874071438345709</v>
      </c>
      <c r="D305" s="9">
        <f ca="1">Assumptions!B$3*(1+B305)^24*(1-C305/12)^24</f>
        <v>667891.8825821724</v>
      </c>
      <c r="E305" s="9">
        <f t="shared" ca="1" si="14"/>
        <v>8014702.5909860693</v>
      </c>
    </row>
    <row r="306" spans="1:5" x14ac:dyDescent="0.35">
      <c r="A306">
        <v>293</v>
      </c>
      <c r="B306">
        <f t="shared" ca="1" si="12"/>
        <v>3.0112516745580454E-2</v>
      </c>
      <c r="C306">
        <f t="shared" ca="1" si="13"/>
        <v>0.31877040098794612</v>
      </c>
      <c r="D306" s="9">
        <f ca="1">Assumptions!B$3*(1+B306)^24*(1-C306/12)^24</f>
        <v>487173.16830960987</v>
      </c>
      <c r="E306" s="9">
        <f t="shared" ca="1" si="14"/>
        <v>5846078.0197153185</v>
      </c>
    </row>
    <row r="307" spans="1:5" x14ac:dyDescent="0.35">
      <c r="A307">
        <v>294</v>
      </c>
      <c r="B307">
        <f t="shared" ca="1" si="12"/>
        <v>1.9993996146130226E-2</v>
      </c>
      <c r="C307">
        <f t="shared" ca="1" si="13"/>
        <v>0.35979645669735255</v>
      </c>
      <c r="D307" s="9">
        <f ca="1">Assumptions!B$3*(1+B307)^24*(1-C307/12)^24</f>
        <v>353282.83193457016</v>
      </c>
      <c r="E307" s="9">
        <f t="shared" ca="1" si="14"/>
        <v>4239393.9832148422</v>
      </c>
    </row>
    <row r="308" spans="1:5" x14ac:dyDescent="0.35">
      <c r="A308">
        <v>295</v>
      </c>
      <c r="B308">
        <f t="shared" ca="1" si="12"/>
        <v>4.845835626964997E-3</v>
      </c>
      <c r="C308">
        <f t="shared" ca="1" si="13"/>
        <v>0.18173924985273798</v>
      </c>
      <c r="D308" s="9">
        <f ca="1">Assumptions!B$3*(1+B308)^24*(1-C308/12)^24</f>
        <v>355138.77057313256</v>
      </c>
      <c r="E308" s="9">
        <f t="shared" ca="1" si="14"/>
        <v>4261665.2468775902</v>
      </c>
    </row>
    <row r="309" spans="1:5" x14ac:dyDescent="0.35">
      <c r="A309">
        <v>296</v>
      </c>
      <c r="B309">
        <f t="shared" ca="1" si="12"/>
        <v>3.9763947848373477E-2</v>
      </c>
      <c r="C309">
        <f t="shared" ca="1" si="13"/>
        <v>0.28991977471342062</v>
      </c>
      <c r="D309" s="9">
        <f ca="1">Assumptions!B$3*(1+B309)^24*(1-C309/12)^24</f>
        <v>646542.35471517919</v>
      </c>
      <c r="E309" s="9">
        <f t="shared" ca="1" si="14"/>
        <v>7758508.2565821502</v>
      </c>
    </row>
    <row r="310" spans="1:5" x14ac:dyDescent="0.35">
      <c r="A310">
        <v>297</v>
      </c>
      <c r="B310">
        <f t="shared" ca="1" si="12"/>
        <v>2.6780560723255742E-2</v>
      </c>
      <c r="C310">
        <f t="shared" ca="1" si="13"/>
        <v>0.23210412760097324</v>
      </c>
      <c r="D310" s="9">
        <f ca="1">Assumptions!B$3*(1+B310)^24*(1-C310/12)^24</f>
        <v>538221.30947417929</v>
      </c>
      <c r="E310" s="9">
        <f t="shared" ca="1" si="14"/>
        <v>6458655.7136901515</v>
      </c>
    </row>
    <row r="311" spans="1:5" x14ac:dyDescent="0.35">
      <c r="A311">
        <v>298</v>
      </c>
      <c r="B311">
        <f t="shared" ca="1" si="12"/>
        <v>3.1353225318284224E-2</v>
      </c>
      <c r="C311">
        <f t="shared" ca="1" si="13"/>
        <v>0.25675478759060877</v>
      </c>
      <c r="D311" s="9">
        <f ca="1">Assumptions!B$3*(1+B311)^24*(1-C311/12)^24</f>
        <v>569402.57665079774</v>
      </c>
      <c r="E311" s="9">
        <f t="shared" ca="1" si="14"/>
        <v>6832830.9198095724</v>
      </c>
    </row>
    <row r="312" spans="1:5" x14ac:dyDescent="0.35">
      <c r="A312">
        <v>299</v>
      </c>
      <c r="B312">
        <f t="shared" ca="1" si="12"/>
        <v>3.2978659619380714E-2</v>
      </c>
      <c r="C312">
        <f t="shared" ca="1" si="13"/>
        <v>0.26596710842482202</v>
      </c>
      <c r="D312" s="9">
        <f ca="1">Assumptions!B$3*(1+B312)^24*(1-C312/12)^24</f>
        <v>580301.36345023476</v>
      </c>
      <c r="E312" s="9">
        <f t="shared" ca="1" si="14"/>
        <v>6963616.3614028171</v>
      </c>
    </row>
    <row r="313" spans="1:5" x14ac:dyDescent="0.35">
      <c r="A313">
        <v>300</v>
      </c>
      <c r="B313">
        <f t="shared" ca="1" si="12"/>
        <v>4.4417029185590824E-2</v>
      </c>
      <c r="C313">
        <f t="shared" ca="1" si="13"/>
        <v>0.37680061654755964</v>
      </c>
      <c r="D313" s="9">
        <f ca="1">Assumptions!B$3*(1+B313)^24*(1-C313/12)^24</f>
        <v>601890.02135272743</v>
      </c>
      <c r="E313" s="9">
        <f t="shared" ca="1" si="14"/>
        <v>7222680.2562327292</v>
      </c>
    </row>
    <row r="314" spans="1:5" x14ac:dyDescent="0.35">
      <c r="A314">
        <v>301</v>
      </c>
      <c r="B314">
        <f t="shared" ca="1" si="12"/>
        <v>3.6454186009062764E-2</v>
      </c>
      <c r="C314">
        <f t="shared" ca="1" si="13"/>
        <v>0.34060206605498666</v>
      </c>
      <c r="D314" s="9">
        <f ca="1">Assumptions!B$3*(1+B314)^24*(1-C314/12)^24</f>
        <v>539703.96690029791</v>
      </c>
      <c r="E314" s="9">
        <f t="shared" ca="1" si="14"/>
        <v>6476447.6028035749</v>
      </c>
    </row>
    <row r="315" spans="1:5" x14ac:dyDescent="0.35">
      <c r="A315">
        <v>302</v>
      </c>
      <c r="B315">
        <f t="shared" ca="1" si="12"/>
        <v>4.8828602616907302E-2</v>
      </c>
      <c r="C315">
        <f t="shared" ca="1" si="13"/>
        <v>0.23954019647379604</v>
      </c>
      <c r="D315" s="9">
        <f ca="1">Assumptions!B$3*(1+B315)^24*(1-C315/12)^24</f>
        <v>882709.4127681579</v>
      </c>
      <c r="E315" s="9">
        <f t="shared" ca="1" si="14"/>
        <v>10592512.953217894</v>
      </c>
    </row>
    <row r="316" spans="1:5" x14ac:dyDescent="0.35">
      <c r="A316">
        <v>303</v>
      </c>
      <c r="B316">
        <f t="shared" ca="1" si="12"/>
        <v>2.7321884198660884E-2</v>
      </c>
      <c r="C316">
        <f t="shared" ca="1" si="13"/>
        <v>0.14184569446314693</v>
      </c>
      <c r="D316" s="9">
        <f ca="1">Assumptions!B$3*(1+B316)^24*(1-C316/12)^24</f>
        <v>654776.76633083576</v>
      </c>
      <c r="E316" s="9">
        <f t="shared" ca="1" si="14"/>
        <v>7857321.1959700286</v>
      </c>
    </row>
    <row r="317" spans="1:5" x14ac:dyDescent="0.35">
      <c r="A317">
        <v>304</v>
      </c>
      <c r="B317">
        <f t="shared" ca="1" si="12"/>
        <v>3.2328593804098991E-2</v>
      </c>
      <c r="C317">
        <f t="shared" ca="1" si="13"/>
        <v>0.26601722064824612</v>
      </c>
      <c r="D317" s="9">
        <f ca="1">Assumptions!B$3*(1+B317)^24*(1-C317/12)^24</f>
        <v>571541.34376177541</v>
      </c>
      <c r="E317" s="9">
        <f t="shared" ca="1" si="14"/>
        <v>6858496.1251413049</v>
      </c>
    </row>
    <row r="318" spans="1:5" x14ac:dyDescent="0.35">
      <c r="A318">
        <v>305</v>
      </c>
      <c r="B318">
        <f t="shared" ca="1" si="12"/>
        <v>3.590691372709786E-2</v>
      </c>
      <c r="C318">
        <f t="shared" ca="1" si="13"/>
        <v>0.20703418157998851</v>
      </c>
      <c r="D318" s="9">
        <f ca="1">Assumptions!B$3*(1+B318)^24*(1-C318/12)^24</f>
        <v>700448.94501576922</v>
      </c>
      <c r="E318" s="9">
        <f t="shared" ca="1" si="14"/>
        <v>8405387.3401892297</v>
      </c>
    </row>
    <row r="319" spans="1:5" x14ac:dyDescent="0.35">
      <c r="A319">
        <v>306</v>
      </c>
      <c r="B319">
        <f t="shared" ca="1" si="12"/>
        <v>2.3306792463134378E-2</v>
      </c>
      <c r="C319">
        <f t="shared" ca="1" si="13"/>
        <v>0.21125799988701283</v>
      </c>
      <c r="D319" s="9">
        <f ca="1">Assumptions!B$3*(1+B319)^24*(1-C319/12)^24</f>
        <v>517708.92712876498</v>
      </c>
      <c r="E319" s="9">
        <f t="shared" ca="1" si="14"/>
        <v>6212507.1255451795</v>
      </c>
    </row>
    <row r="320" spans="1:5" x14ac:dyDescent="0.35">
      <c r="A320">
        <v>307</v>
      </c>
      <c r="B320">
        <f t="shared" ca="1" si="12"/>
        <v>1.5590760307634998E-2</v>
      </c>
      <c r="C320">
        <f t="shared" ca="1" si="13"/>
        <v>0.27939655483015924</v>
      </c>
      <c r="D320" s="9">
        <f ca="1">Assumptions!B$3*(1+B320)^24*(1-C320/12)^24</f>
        <v>375642.82119769207</v>
      </c>
      <c r="E320" s="9">
        <f t="shared" ca="1" si="14"/>
        <v>4507713.8543723049</v>
      </c>
    </row>
    <row r="321" spans="1:5" x14ac:dyDescent="0.35">
      <c r="A321">
        <v>308</v>
      </c>
      <c r="B321">
        <f t="shared" ca="1" si="12"/>
        <v>2.1694822753356831E-2</v>
      </c>
      <c r="C321">
        <f t="shared" ca="1" si="13"/>
        <v>0.20009873391859806</v>
      </c>
      <c r="D321" s="9">
        <f ca="1">Assumptions!B$3*(1+B321)^24*(1-C321/12)^24</f>
        <v>509935.86707651452</v>
      </c>
      <c r="E321" s="9">
        <f t="shared" ca="1" si="14"/>
        <v>6119230.4049181743</v>
      </c>
    </row>
    <row r="322" spans="1:5" x14ac:dyDescent="0.35">
      <c r="A322">
        <v>309</v>
      </c>
      <c r="B322">
        <f t="shared" ca="1" si="12"/>
        <v>4.2267005130849099E-2</v>
      </c>
      <c r="C322">
        <f t="shared" ca="1" si="13"/>
        <v>0.16415095307698283</v>
      </c>
      <c r="D322" s="9">
        <f ca="1">Assumptions!B$3*(1+B322)^24*(1-C322/12)^24</f>
        <v>885131.39567886153</v>
      </c>
      <c r="E322" s="9">
        <f t="shared" ca="1" si="14"/>
        <v>10621576.748146338</v>
      </c>
    </row>
    <row r="323" spans="1:5" x14ac:dyDescent="0.35">
      <c r="A323">
        <v>310</v>
      </c>
      <c r="B323">
        <f t="shared" ca="1" si="12"/>
        <v>2.6160659240660376E-2</v>
      </c>
      <c r="C323">
        <f t="shared" ca="1" si="13"/>
        <v>0.23343652730051115</v>
      </c>
      <c r="D323" s="9">
        <f ca="1">Assumptions!B$3*(1+B323)^24*(1-C323/12)^24</f>
        <v>529036.98655838578</v>
      </c>
      <c r="E323" s="9">
        <f t="shared" ca="1" si="14"/>
        <v>6348443.8387006298</v>
      </c>
    </row>
    <row r="324" spans="1:5" x14ac:dyDescent="0.35">
      <c r="A324">
        <v>311</v>
      </c>
      <c r="B324">
        <f t="shared" ca="1" si="12"/>
        <v>1.3288034321956365E-2</v>
      </c>
      <c r="C324">
        <f t="shared" ca="1" si="13"/>
        <v>0.26430450217825346</v>
      </c>
      <c r="D324" s="9">
        <f ca="1">Assumptions!B$3*(1+B324)^24*(1-C324/12)^24</f>
        <v>366883.25773104595</v>
      </c>
      <c r="E324" s="9">
        <f t="shared" ca="1" si="14"/>
        <v>4402599.0927725509</v>
      </c>
    </row>
    <row r="325" spans="1:5" x14ac:dyDescent="0.35">
      <c r="A325">
        <v>312</v>
      </c>
      <c r="B325">
        <f t="shared" ca="1" si="12"/>
        <v>3.6983105219419207E-2</v>
      </c>
      <c r="C325">
        <f t="shared" ca="1" si="13"/>
        <v>0.25924576593379212</v>
      </c>
      <c r="D325" s="9">
        <f ca="1">Assumptions!B$3*(1+B325)^24*(1-C325/12)^24</f>
        <v>645580.26399639726</v>
      </c>
      <c r="E325" s="9">
        <f t="shared" ca="1" si="14"/>
        <v>7746963.1679567676</v>
      </c>
    </row>
    <row r="326" spans="1:5" x14ac:dyDescent="0.35">
      <c r="A326">
        <v>313</v>
      </c>
      <c r="B326">
        <f t="shared" ca="1" si="12"/>
        <v>4.651928088900438E-2</v>
      </c>
      <c r="C326">
        <f t="shared" ca="1" si="13"/>
        <v>0.29032141950280255</v>
      </c>
      <c r="D326" s="9">
        <f ca="1">Assumptions!B$3*(1+B326)^24*(1-C326/12)^24</f>
        <v>754638.52807018568</v>
      </c>
      <c r="E326" s="9">
        <f t="shared" ca="1" si="14"/>
        <v>9055662.3368422277</v>
      </c>
    </row>
    <row r="327" spans="1:5" x14ac:dyDescent="0.35">
      <c r="A327">
        <v>314</v>
      </c>
      <c r="B327">
        <f t="shared" ca="1" si="12"/>
        <v>3.2045764486080229E-2</v>
      </c>
      <c r="C327">
        <f t="shared" ca="1" si="13"/>
        <v>8.7365542543406643E-2</v>
      </c>
      <c r="D327" s="9">
        <f ca="1">Assumptions!B$3*(1+B327)^24*(1-C327/12)^24</f>
        <v>815996.85763958679</v>
      </c>
      <c r="E327" s="9">
        <f t="shared" ca="1" si="14"/>
        <v>9791962.2916750424</v>
      </c>
    </row>
    <row r="328" spans="1:5" x14ac:dyDescent="0.35">
      <c r="A328">
        <v>315</v>
      </c>
      <c r="B328">
        <f t="shared" ca="1" si="12"/>
        <v>2.5833172127028358E-2</v>
      </c>
      <c r="C328">
        <f t="shared" ca="1" si="13"/>
        <v>0.25845947249042206</v>
      </c>
      <c r="D328" s="9">
        <f ca="1">Assumptions!B$3*(1+B328)^24*(1-C328/12)^24</f>
        <v>498849.63145487075</v>
      </c>
      <c r="E328" s="9">
        <f t="shared" ca="1" si="14"/>
        <v>5986195.5774584487</v>
      </c>
    </row>
    <row r="329" spans="1:5" x14ac:dyDescent="0.35">
      <c r="A329">
        <v>316</v>
      </c>
      <c r="B329">
        <f t="shared" ca="1" si="12"/>
        <v>4.516302725991922E-2</v>
      </c>
      <c r="C329">
        <f t="shared" ca="1" si="13"/>
        <v>0.33904862131792168</v>
      </c>
      <c r="D329" s="9">
        <f ca="1">Assumptions!B$3*(1+B329)^24*(1-C329/12)^24</f>
        <v>661848.38993718114</v>
      </c>
      <c r="E329" s="9">
        <f t="shared" ca="1" si="14"/>
        <v>7942180.6792461742</v>
      </c>
    </row>
    <row r="330" spans="1:5" x14ac:dyDescent="0.35">
      <c r="A330">
        <v>317</v>
      </c>
      <c r="B330">
        <f t="shared" ca="1" si="12"/>
        <v>4.7029870134096527E-2</v>
      </c>
      <c r="C330">
        <f t="shared" ca="1" si="13"/>
        <v>0.20316383929800735</v>
      </c>
      <c r="D330" s="9">
        <f ca="1">Assumptions!B$3*(1+B330)^24*(1-C330/12)^24</f>
        <v>912256.23181014217</v>
      </c>
      <c r="E330" s="9">
        <f t="shared" ca="1" si="14"/>
        <v>10947074.781721706</v>
      </c>
    </row>
    <row r="331" spans="1:5" x14ac:dyDescent="0.35">
      <c r="A331">
        <v>318</v>
      </c>
      <c r="B331">
        <f t="shared" ca="1" si="12"/>
        <v>1.6349453968253526E-2</v>
      </c>
      <c r="C331">
        <f t="shared" ca="1" si="13"/>
        <v>0.1954854395886452</v>
      </c>
      <c r="D331" s="9">
        <f ca="1">Assumptions!B$3*(1+B331)^24*(1-C331/12)^24</f>
        <v>453852.30162995344</v>
      </c>
      <c r="E331" s="9">
        <f t="shared" ca="1" si="14"/>
        <v>5446227.6195594408</v>
      </c>
    </row>
    <row r="332" spans="1:5" x14ac:dyDescent="0.35">
      <c r="A332">
        <v>319</v>
      </c>
      <c r="B332">
        <f t="shared" ca="1" si="12"/>
        <v>3.9954830023722986E-2</v>
      </c>
      <c r="C332">
        <f t="shared" ca="1" si="13"/>
        <v>0.19974069265315181</v>
      </c>
      <c r="D332" s="9">
        <f ca="1">Assumptions!B$3*(1+B332)^24*(1-C332/12)^24</f>
        <v>780675.63771156082</v>
      </c>
      <c r="E332" s="9">
        <f t="shared" ca="1" si="14"/>
        <v>9368107.6525387298</v>
      </c>
    </row>
    <row r="333" spans="1:5" x14ac:dyDescent="0.35">
      <c r="A333">
        <v>320</v>
      </c>
      <c r="B333">
        <f t="shared" ca="1" si="12"/>
        <v>4.8375419221020864E-3</v>
      </c>
      <c r="C333">
        <f t="shared" ca="1" si="13"/>
        <v>0.20587463997388963</v>
      </c>
      <c r="D333" s="9">
        <f ca="1">Assumptions!B$3*(1+B333)^24*(1-C333/12)^24</f>
        <v>338068.09180010023</v>
      </c>
      <c r="E333" s="9">
        <f t="shared" ca="1" si="14"/>
        <v>4056817.101601203</v>
      </c>
    </row>
    <row r="334" spans="1:5" x14ac:dyDescent="0.35">
      <c r="A334">
        <v>321</v>
      </c>
      <c r="B334">
        <f t="shared" ca="1" si="12"/>
        <v>3.1463582577054401E-2</v>
      </c>
      <c r="C334">
        <f t="shared" ca="1" si="13"/>
        <v>0.17734259753831355</v>
      </c>
      <c r="D334" s="9">
        <f ca="1">Assumptions!B$3*(1+B334)^24*(1-C334/12)^24</f>
        <v>671092.00789599936</v>
      </c>
      <c r="E334" s="9">
        <f t="shared" ca="1" si="14"/>
        <v>8053104.0947519923</v>
      </c>
    </row>
    <row r="335" spans="1:5" x14ac:dyDescent="0.35">
      <c r="A335">
        <v>322</v>
      </c>
      <c r="B335">
        <f t="shared" ca="1" si="12"/>
        <v>1.8825761289308407E-2</v>
      </c>
      <c r="C335">
        <f t="shared" ca="1" si="13"/>
        <v>0.25720160771151873</v>
      </c>
      <c r="D335" s="9">
        <f ca="1">Assumptions!B$3*(1+B335)^24*(1-C335/12)^24</f>
        <v>424270.18225923704</v>
      </c>
      <c r="E335" s="9">
        <f t="shared" ca="1" si="14"/>
        <v>5091242.187110845</v>
      </c>
    </row>
    <row r="336" spans="1:5" x14ac:dyDescent="0.35">
      <c r="A336">
        <v>323</v>
      </c>
      <c r="B336">
        <f t="shared" ref="B336:B399" ca="1" si="15">_xlfn.NORM.INV(RAND(), $B$4, $B$5)</f>
        <v>2.4439688883930905E-2</v>
      </c>
      <c r="C336">
        <f t="shared" ref="C336:C399" ca="1" si="16">+_xlfn.NORM.INV(RAND(), $B$6, $B$7)</f>
        <v>0.27059590139899975</v>
      </c>
      <c r="D336" s="9">
        <f ca="1">Assumptions!B$3*(1+B336)^24*(1-C336/12)^24</f>
        <v>471001.44233405101</v>
      </c>
      <c r="E336" s="9">
        <f t="shared" ref="E336:E399" ca="1" si="17">D336*12</f>
        <v>5652017.3080086121</v>
      </c>
    </row>
    <row r="337" spans="1:5" x14ac:dyDescent="0.35">
      <c r="A337">
        <v>324</v>
      </c>
      <c r="B337">
        <f t="shared" ca="1" si="15"/>
        <v>3.5850005162106277E-2</v>
      </c>
      <c r="C337">
        <f t="shared" ca="1" si="16"/>
        <v>0.20529297634387139</v>
      </c>
      <c r="D337" s="9">
        <f ca="1">Assumptions!B$3*(1+B337)^24*(1-C337/12)^24</f>
        <v>702009.02835357282</v>
      </c>
      <c r="E337" s="9">
        <f t="shared" ca="1" si="17"/>
        <v>8424108.3402428739</v>
      </c>
    </row>
    <row r="338" spans="1:5" x14ac:dyDescent="0.35">
      <c r="A338">
        <v>325</v>
      </c>
      <c r="B338">
        <f t="shared" ca="1" si="15"/>
        <v>3.054440773175705E-2</v>
      </c>
      <c r="C338">
        <f t="shared" ca="1" si="16"/>
        <v>0.20642137735258909</v>
      </c>
      <c r="D338" s="9">
        <f ca="1">Assumptions!B$3*(1+B338)^24*(1-C338/12)^24</f>
        <v>619186.66539392376</v>
      </c>
      <c r="E338" s="9">
        <f t="shared" ca="1" si="17"/>
        <v>7430239.9847270846</v>
      </c>
    </row>
    <row r="339" spans="1:5" x14ac:dyDescent="0.35">
      <c r="A339">
        <v>326</v>
      </c>
      <c r="B339">
        <f t="shared" ca="1" si="15"/>
        <v>2.4770301215916772E-2</v>
      </c>
      <c r="C339">
        <f t="shared" ca="1" si="16"/>
        <v>0.32259092052882393</v>
      </c>
      <c r="D339" s="9">
        <f ca="1">Assumptions!B$3*(1+B339)^24*(1-C339/12)^24</f>
        <v>426656.70821705769</v>
      </c>
      <c r="E339" s="9">
        <f t="shared" ca="1" si="17"/>
        <v>5119880.4986046925</v>
      </c>
    </row>
    <row r="340" spans="1:5" x14ac:dyDescent="0.35">
      <c r="A340">
        <v>327</v>
      </c>
      <c r="B340">
        <f t="shared" ca="1" si="15"/>
        <v>7.9390037196515086E-3</v>
      </c>
      <c r="C340">
        <f t="shared" ca="1" si="16"/>
        <v>0.25994518207433664</v>
      </c>
      <c r="D340" s="9">
        <f ca="1">Assumptions!B$3*(1+B340)^24*(1-C340/12)^24</f>
        <v>326010.05620935588</v>
      </c>
      <c r="E340" s="9">
        <f t="shared" ca="1" si="17"/>
        <v>3912120.6745122708</v>
      </c>
    </row>
    <row r="341" spans="1:5" x14ac:dyDescent="0.35">
      <c r="A341">
        <v>328</v>
      </c>
      <c r="B341">
        <f t="shared" ca="1" si="15"/>
        <v>2.8289842483347077E-2</v>
      </c>
      <c r="C341">
        <f t="shared" ca="1" si="16"/>
        <v>0.3088650158369376</v>
      </c>
      <c r="D341" s="9">
        <f ca="1">Assumptions!B$3*(1+B341)^24*(1-C341/12)^24</f>
        <v>476496.01120449975</v>
      </c>
      <c r="E341" s="9">
        <f t="shared" ca="1" si="17"/>
        <v>5717952.134453997</v>
      </c>
    </row>
    <row r="342" spans="1:5" x14ac:dyDescent="0.35">
      <c r="A342">
        <v>329</v>
      </c>
      <c r="B342">
        <f t="shared" ca="1" si="15"/>
        <v>1.4337592024240935E-2</v>
      </c>
      <c r="C342">
        <f t="shared" ca="1" si="16"/>
        <v>0.35920419507562179</v>
      </c>
      <c r="D342" s="9">
        <f ca="1">Assumptions!B$3*(1+B342)^24*(1-C342/12)^24</f>
        <v>309521.33260055783</v>
      </c>
      <c r="E342" s="9">
        <f t="shared" ca="1" si="17"/>
        <v>3714255.9912066939</v>
      </c>
    </row>
    <row r="343" spans="1:5" x14ac:dyDescent="0.35">
      <c r="A343">
        <v>330</v>
      </c>
      <c r="B343">
        <f t="shared" ca="1" si="15"/>
        <v>2.0833538603062147E-2</v>
      </c>
      <c r="C343">
        <f t="shared" ca="1" si="16"/>
        <v>0.20699946000478889</v>
      </c>
      <c r="D343" s="9">
        <f ca="1">Assumptions!B$3*(1+B343)^24*(1-C343/12)^24</f>
        <v>492751.47725263785</v>
      </c>
      <c r="E343" s="9">
        <f t="shared" ca="1" si="17"/>
        <v>5913017.7270316537</v>
      </c>
    </row>
    <row r="344" spans="1:5" x14ac:dyDescent="0.35">
      <c r="A344">
        <v>331</v>
      </c>
      <c r="B344">
        <f t="shared" ca="1" si="15"/>
        <v>3.1650274756457021E-2</v>
      </c>
      <c r="C344">
        <f t="shared" ca="1" si="16"/>
        <v>0.27494667578919774</v>
      </c>
      <c r="D344" s="9">
        <f ca="1">Assumptions!B$3*(1+B344)^24*(1-C344/12)^24</f>
        <v>552410.29764095542</v>
      </c>
      <c r="E344" s="9">
        <f t="shared" ca="1" si="17"/>
        <v>6628923.5716914646</v>
      </c>
    </row>
    <row r="345" spans="1:5" x14ac:dyDescent="0.35">
      <c r="A345">
        <v>332</v>
      </c>
      <c r="B345">
        <f t="shared" ca="1" si="15"/>
        <v>3.4614765982441349E-2</v>
      </c>
      <c r="C345">
        <f t="shared" ca="1" si="16"/>
        <v>0.31423248817016325</v>
      </c>
      <c r="D345" s="9">
        <f ca="1">Assumptions!B$3*(1+B345)^24*(1-C345/12)^24</f>
        <v>545994.05290775443</v>
      </c>
      <c r="E345" s="9">
        <f t="shared" ca="1" si="17"/>
        <v>6551928.6348930532</v>
      </c>
    </row>
    <row r="346" spans="1:5" x14ac:dyDescent="0.35">
      <c r="A346">
        <v>333</v>
      </c>
      <c r="B346">
        <f t="shared" ca="1" si="15"/>
        <v>3.0443230668888765E-2</v>
      </c>
      <c r="C346">
        <f t="shared" ca="1" si="16"/>
        <v>0.23644452255315304</v>
      </c>
      <c r="D346" s="9">
        <f ca="1">Assumptions!B$3*(1+B346)^24*(1-C346/12)^24</f>
        <v>581072.31755629939</v>
      </c>
      <c r="E346" s="9">
        <f t="shared" ca="1" si="17"/>
        <v>6972867.8106755931</v>
      </c>
    </row>
    <row r="347" spans="1:5" x14ac:dyDescent="0.35">
      <c r="A347">
        <v>334</v>
      </c>
      <c r="B347">
        <f t="shared" ca="1" si="15"/>
        <v>5.0597274821454194E-2</v>
      </c>
      <c r="C347">
        <f t="shared" ca="1" si="16"/>
        <v>0.24479806221911105</v>
      </c>
      <c r="D347" s="9">
        <f ca="1">Assumptions!B$3*(1+B347)^24*(1-C347/12)^24</f>
        <v>909324.11770583235</v>
      </c>
      <c r="E347" s="9">
        <f t="shared" ca="1" si="17"/>
        <v>10911889.412469989</v>
      </c>
    </row>
    <row r="348" spans="1:5" x14ac:dyDescent="0.35">
      <c r="A348">
        <v>335</v>
      </c>
      <c r="B348">
        <f t="shared" ca="1" si="15"/>
        <v>3.1970574575049253E-2</v>
      </c>
      <c r="C348">
        <f t="shared" ca="1" si="16"/>
        <v>0.24965060134494987</v>
      </c>
      <c r="D348" s="9">
        <f ca="1">Assumptions!B$3*(1+B348)^24*(1-C348/12)^24</f>
        <v>586084.51341489726</v>
      </c>
      <c r="E348" s="9">
        <f t="shared" ca="1" si="17"/>
        <v>7033014.1609787671</v>
      </c>
    </row>
    <row r="349" spans="1:5" x14ac:dyDescent="0.35">
      <c r="A349">
        <v>336</v>
      </c>
      <c r="B349">
        <f t="shared" ca="1" si="15"/>
        <v>1.1858738493636112E-2</v>
      </c>
      <c r="C349">
        <f t="shared" ca="1" si="16"/>
        <v>0.20060071875525576</v>
      </c>
      <c r="D349" s="9">
        <f ca="1">Assumptions!B$3*(1+B349)^24*(1-C349/12)^24</f>
        <v>403869.25474458793</v>
      </c>
      <c r="E349" s="9">
        <f t="shared" ca="1" si="17"/>
        <v>4846431.0569350552</v>
      </c>
    </row>
    <row r="350" spans="1:5" x14ac:dyDescent="0.35">
      <c r="A350">
        <v>337</v>
      </c>
      <c r="B350">
        <f t="shared" ca="1" si="15"/>
        <v>2.0281806962196197E-2</v>
      </c>
      <c r="C350">
        <f t="shared" ca="1" si="16"/>
        <v>0.24484379717721808</v>
      </c>
      <c r="D350" s="9">
        <f ca="1">Assumptions!B$3*(1+B350)^24*(1-C350/12)^24</f>
        <v>450288.75627097825</v>
      </c>
      <c r="E350" s="9">
        <f t="shared" ca="1" si="17"/>
        <v>5403465.0752517395</v>
      </c>
    </row>
    <row r="351" spans="1:5" x14ac:dyDescent="0.35">
      <c r="A351">
        <v>338</v>
      </c>
      <c r="B351">
        <f t="shared" ca="1" si="15"/>
        <v>1.7514370353794079E-2</v>
      </c>
      <c r="C351">
        <f t="shared" ca="1" si="16"/>
        <v>0.34781119878455291</v>
      </c>
      <c r="D351" s="9">
        <f ca="1">Assumptions!B$3*(1+B351)^24*(1-C351/12)^24</f>
        <v>341569.84190210339</v>
      </c>
      <c r="E351" s="9">
        <f t="shared" ca="1" si="17"/>
        <v>4098838.1028252407</v>
      </c>
    </row>
    <row r="352" spans="1:5" x14ac:dyDescent="0.35">
      <c r="A352">
        <v>339</v>
      </c>
      <c r="B352">
        <f t="shared" ca="1" si="15"/>
        <v>4.0748193276132917E-2</v>
      </c>
      <c r="C352">
        <f t="shared" ca="1" si="16"/>
        <v>0.1966696385990927</v>
      </c>
      <c r="D352" s="9">
        <f ca="1">Assumptions!B$3*(1+B352)^24*(1-C352/12)^24</f>
        <v>800076.38656679483</v>
      </c>
      <c r="E352" s="9">
        <f t="shared" ca="1" si="17"/>
        <v>9600916.6388015375</v>
      </c>
    </row>
    <row r="353" spans="1:5" x14ac:dyDescent="0.35">
      <c r="A353">
        <v>340</v>
      </c>
      <c r="B353">
        <f t="shared" ca="1" si="15"/>
        <v>9.4711161805776933E-3</v>
      </c>
      <c r="C353">
        <f t="shared" ca="1" si="16"/>
        <v>0.15134411568027675</v>
      </c>
      <c r="D353" s="9">
        <f ca="1">Assumptions!B$3*(1+B353)^24*(1-C353/12)^24</f>
        <v>421732.99653429998</v>
      </c>
      <c r="E353" s="9">
        <f t="shared" ca="1" si="17"/>
        <v>5060795.9584115995</v>
      </c>
    </row>
    <row r="354" spans="1:5" x14ac:dyDescent="0.35">
      <c r="A354">
        <v>341</v>
      </c>
      <c r="B354">
        <f t="shared" ca="1" si="15"/>
        <v>2.9499361457826206E-2</v>
      </c>
      <c r="C354">
        <f t="shared" ca="1" si="16"/>
        <v>0.30279045219427503</v>
      </c>
      <c r="D354" s="9">
        <f ca="1">Assumptions!B$3*(1+B354)^24*(1-C354/12)^24</f>
        <v>496279.58806838095</v>
      </c>
      <c r="E354" s="9">
        <f t="shared" ca="1" si="17"/>
        <v>5955355.0568205714</v>
      </c>
    </row>
    <row r="355" spans="1:5" x14ac:dyDescent="0.35">
      <c r="A355">
        <v>342</v>
      </c>
      <c r="B355">
        <f t="shared" ca="1" si="15"/>
        <v>2.8558744753397546E-2</v>
      </c>
      <c r="C355">
        <f t="shared" ca="1" si="16"/>
        <v>0.27809417694481664</v>
      </c>
      <c r="D355" s="9">
        <f ca="1">Assumptions!B$3*(1+B355)^24*(1-C355/12)^24</f>
        <v>510718.82028458553</v>
      </c>
      <c r="E355" s="9">
        <f t="shared" ca="1" si="17"/>
        <v>6128625.8434150266</v>
      </c>
    </row>
    <row r="356" spans="1:5" x14ac:dyDescent="0.35">
      <c r="A356">
        <v>343</v>
      </c>
      <c r="B356">
        <f t="shared" ca="1" si="15"/>
        <v>2.876302144354629E-2</v>
      </c>
      <c r="C356">
        <f t="shared" ca="1" si="16"/>
        <v>0.21399846229325128</v>
      </c>
      <c r="D356" s="9">
        <f ca="1">Assumptions!B$3*(1+B356)^24*(1-C356/12)^24</f>
        <v>584911.42185907008</v>
      </c>
      <c r="E356" s="9">
        <f t="shared" ca="1" si="17"/>
        <v>7018937.0623088405</v>
      </c>
    </row>
    <row r="357" spans="1:5" x14ac:dyDescent="0.35">
      <c r="A357">
        <v>344</v>
      </c>
      <c r="B357">
        <f t="shared" ca="1" si="15"/>
        <v>2.5904683373786132E-2</v>
      </c>
      <c r="C357">
        <f t="shared" ca="1" si="16"/>
        <v>0.3079838807489218</v>
      </c>
      <c r="D357" s="9">
        <f ca="1">Assumptions!B$3*(1+B357)^24*(1-C357/12)^24</f>
        <v>451481.54406397947</v>
      </c>
      <c r="E357" s="9">
        <f t="shared" ca="1" si="17"/>
        <v>5417778.5287677534</v>
      </c>
    </row>
    <row r="358" spans="1:5" x14ac:dyDescent="0.35">
      <c r="A358">
        <v>345</v>
      </c>
      <c r="B358">
        <f t="shared" ca="1" si="15"/>
        <v>3.1126439343300713E-2</v>
      </c>
      <c r="C358">
        <f t="shared" ca="1" si="16"/>
        <v>0.35539484498458118</v>
      </c>
      <c r="D358" s="9">
        <f ca="1">Assumptions!B$3*(1+B358)^24*(1-C358/12)^24</f>
        <v>462600.96155421552</v>
      </c>
      <c r="E358" s="9">
        <f t="shared" ca="1" si="17"/>
        <v>5551211.5386505863</v>
      </c>
    </row>
    <row r="359" spans="1:5" x14ac:dyDescent="0.35">
      <c r="A359">
        <v>346</v>
      </c>
      <c r="B359">
        <f t="shared" ca="1" si="15"/>
        <v>4.182557036676228E-2</v>
      </c>
      <c r="C359">
        <f t="shared" ca="1" si="16"/>
        <v>0.26051908139554286</v>
      </c>
      <c r="D359" s="9">
        <f ca="1">Assumptions!B$3*(1+B359)^24*(1-C359/12)^24</f>
        <v>720078.31854671077</v>
      </c>
      <c r="E359" s="9">
        <f t="shared" ca="1" si="17"/>
        <v>8640939.8225605302</v>
      </c>
    </row>
    <row r="360" spans="1:5" x14ac:dyDescent="0.35">
      <c r="A360">
        <v>347</v>
      </c>
      <c r="B360">
        <f t="shared" ca="1" si="15"/>
        <v>2.7551761899671373E-2</v>
      </c>
      <c r="C360">
        <f t="shared" ca="1" si="16"/>
        <v>0.31116133292625858</v>
      </c>
      <c r="D360" s="9">
        <f ca="1">Assumptions!B$3*(1+B360)^24*(1-C360/12)^24</f>
        <v>466152.17731110239</v>
      </c>
      <c r="E360" s="9">
        <f t="shared" ca="1" si="17"/>
        <v>5593826.1277332287</v>
      </c>
    </row>
    <row r="361" spans="1:5" x14ac:dyDescent="0.35">
      <c r="A361">
        <v>348</v>
      </c>
      <c r="B361">
        <f t="shared" ca="1" si="15"/>
        <v>2.6202473935680912E-2</v>
      </c>
      <c r="C361">
        <f t="shared" ca="1" si="16"/>
        <v>0.26807873250233039</v>
      </c>
      <c r="D361" s="9">
        <f ca="1">Assumptions!B$3*(1+B361)^24*(1-C361/12)^24</f>
        <v>493376.77662908891</v>
      </c>
      <c r="E361" s="9">
        <f t="shared" ca="1" si="17"/>
        <v>5920521.3195490669</v>
      </c>
    </row>
    <row r="362" spans="1:5" x14ac:dyDescent="0.35">
      <c r="A362">
        <v>349</v>
      </c>
      <c r="B362">
        <f t="shared" ca="1" si="15"/>
        <v>2.9279932635320024E-2</v>
      </c>
      <c r="C362">
        <f t="shared" ca="1" si="16"/>
        <v>0.28912695418565743</v>
      </c>
      <c r="D362" s="9">
        <f ca="1">Assumptions!B$3*(1+B362)^24*(1-C362/12)^24</f>
        <v>507776.57154651568</v>
      </c>
      <c r="E362" s="9">
        <f t="shared" ca="1" si="17"/>
        <v>6093318.8585581882</v>
      </c>
    </row>
    <row r="363" spans="1:5" x14ac:dyDescent="0.35">
      <c r="A363">
        <v>350</v>
      </c>
      <c r="B363">
        <f t="shared" ca="1" si="15"/>
        <v>2.9983050693487723E-2</v>
      </c>
      <c r="C363">
        <f t="shared" ca="1" si="16"/>
        <v>0.27483020867656383</v>
      </c>
      <c r="D363" s="9">
        <f ca="1">Assumptions!B$3*(1+B363)^24*(1-C363/12)^24</f>
        <v>531504.83128813491</v>
      </c>
      <c r="E363" s="9">
        <f t="shared" ca="1" si="17"/>
        <v>6378057.9754576189</v>
      </c>
    </row>
    <row r="364" spans="1:5" x14ac:dyDescent="0.35">
      <c r="A364">
        <v>351</v>
      </c>
      <c r="B364">
        <f t="shared" ca="1" si="15"/>
        <v>2.5983547879148257E-2</v>
      </c>
      <c r="C364">
        <f t="shared" ca="1" si="16"/>
        <v>0.18670277118158413</v>
      </c>
      <c r="D364" s="9">
        <f ca="1">Assumptions!B$3*(1+B364)^24*(1-C364/12)^24</f>
        <v>579432.22236800916</v>
      </c>
      <c r="E364" s="9">
        <f t="shared" ca="1" si="17"/>
        <v>6953186.6684161099</v>
      </c>
    </row>
    <row r="365" spans="1:5" x14ac:dyDescent="0.35">
      <c r="A365">
        <v>352</v>
      </c>
      <c r="B365">
        <f t="shared" ca="1" si="15"/>
        <v>4.7387400994253155E-2</v>
      </c>
      <c r="C365">
        <f t="shared" ca="1" si="16"/>
        <v>0.23585002838528532</v>
      </c>
      <c r="D365" s="9">
        <f ca="1">Assumptions!B$3*(1+B365)^24*(1-C365/12)^24</f>
        <v>860509.20565516991</v>
      </c>
      <c r="E365" s="9">
        <f t="shared" ca="1" si="17"/>
        <v>10326110.46786204</v>
      </c>
    </row>
    <row r="366" spans="1:5" x14ac:dyDescent="0.35">
      <c r="A366">
        <v>353</v>
      </c>
      <c r="B366">
        <f t="shared" ca="1" si="15"/>
        <v>4.168771659070894E-2</v>
      </c>
      <c r="C366">
        <f t="shared" ca="1" si="16"/>
        <v>0.22331902459960615</v>
      </c>
      <c r="D366" s="9">
        <f ca="1">Assumptions!B$3*(1+B366)^24*(1-C366/12)^24</f>
        <v>774420.52695803728</v>
      </c>
      <c r="E366" s="9">
        <f t="shared" ca="1" si="17"/>
        <v>9293046.3234964479</v>
      </c>
    </row>
    <row r="367" spans="1:5" x14ac:dyDescent="0.35">
      <c r="A367">
        <v>354</v>
      </c>
      <c r="B367">
        <f t="shared" ca="1" si="15"/>
        <v>3.4906340320355694E-2</v>
      </c>
      <c r="C367">
        <f t="shared" ca="1" si="16"/>
        <v>0.31098323045922865</v>
      </c>
      <c r="D367" s="9">
        <f ca="1">Assumptions!B$3*(1+B367)^24*(1-C367/12)^24</f>
        <v>553379.00386151695</v>
      </c>
      <c r="E367" s="9">
        <f t="shared" ca="1" si="17"/>
        <v>6640548.0463382034</v>
      </c>
    </row>
    <row r="368" spans="1:5" x14ac:dyDescent="0.35">
      <c r="A368">
        <v>355</v>
      </c>
      <c r="B368">
        <f t="shared" ca="1" si="15"/>
        <v>3.0832868821028141E-2</v>
      </c>
      <c r="C368">
        <f t="shared" ca="1" si="16"/>
        <v>0.23444849609737367</v>
      </c>
      <c r="D368" s="9">
        <f ca="1">Assumptions!B$3*(1+B368)^24*(1-C368/12)^24</f>
        <v>588761.09690238361</v>
      </c>
      <c r="E368" s="9">
        <f t="shared" ca="1" si="17"/>
        <v>7065133.1628286038</v>
      </c>
    </row>
    <row r="369" spans="1:5" x14ac:dyDescent="0.35">
      <c r="A369">
        <v>356</v>
      </c>
      <c r="B369">
        <f t="shared" ca="1" si="15"/>
        <v>3.6880095917025013E-2</v>
      </c>
      <c r="C369">
        <f t="shared" ca="1" si="16"/>
        <v>0.24381642057478087</v>
      </c>
      <c r="D369" s="9">
        <f ca="1">Assumptions!B$3*(1+B369)^24*(1-C369/12)^24</f>
        <v>664666.05712554918</v>
      </c>
      <c r="E369" s="9">
        <f t="shared" ca="1" si="17"/>
        <v>7975992.6855065897</v>
      </c>
    </row>
    <row r="370" spans="1:5" x14ac:dyDescent="0.35">
      <c r="A370">
        <v>357</v>
      </c>
      <c r="B370">
        <f t="shared" ca="1" si="15"/>
        <v>2.2252431100022018E-2</v>
      </c>
      <c r="C370">
        <f t="shared" ca="1" si="16"/>
        <v>0.31929178158267246</v>
      </c>
      <c r="D370" s="9">
        <f ca="1">Assumptions!B$3*(1+B370)^24*(1-C370/12)^24</f>
        <v>404931.75355345249</v>
      </c>
      <c r="E370" s="9">
        <f t="shared" ca="1" si="17"/>
        <v>4859181.0426414302</v>
      </c>
    </row>
    <row r="371" spans="1:5" x14ac:dyDescent="0.35">
      <c r="A371">
        <v>358</v>
      </c>
      <c r="B371">
        <f t="shared" ca="1" si="15"/>
        <v>3.7137059611882753E-2</v>
      </c>
      <c r="C371">
        <f t="shared" ca="1" si="16"/>
        <v>0.29343274795530183</v>
      </c>
      <c r="D371" s="9">
        <f ca="1">Assumptions!B$3*(1+B371)^24*(1-C371/12)^24</f>
        <v>604092.14878736937</v>
      </c>
      <c r="E371" s="9">
        <f t="shared" ca="1" si="17"/>
        <v>7249105.785448432</v>
      </c>
    </row>
    <row r="372" spans="1:5" x14ac:dyDescent="0.35">
      <c r="A372">
        <v>359</v>
      </c>
      <c r="B372">
        <f t="shared" ca="1" si="15"/>
        <v>3.3893978594922575E-2</v>
      </c>
      <c r="C372">
        <f t="shared" ca="1" si="16"/>
        <v>0.16811646738346669</v>
      </c>
      <c r="D372" s="9">
        <f ca="1">Assumptions!B$3*(1+B372)^24*(1-C372/12)^24</f>
        <v>723508.07357469772</v>
      </c>
      <c r="E372" s="9">
        <f t="shared" ca="1" si="17"/>
        <v>8682096.882896373</v>
      </c>
    </row>
    <row r="373" spans="1:5" x14ac:dyDescent="0.35">
      <c r="A373">
        <v>360</v>
      </c>
      <c r="B373">
        <f t="shared" ca="1" si="15"/>
        <v>1.2421113282936623E-2</v>
      </c>
      <c r="C373">
        <f t="shared" ca="1" si="16"/>
        <v>0.26047109790566553</v>
      </c>
      <c r="D373" s="9">
        <f ca="1">Assumptions!B$3*(1+B373)^24*(1-C373/12)^24</f>
        <v>362251.90773548005</v>
      </c>
      <c r="E373" s="9">
        <f t="shared" ca="1" si="17"/>
        <v>4347022.8928257609</v>
      </c>
    </row>
    <row r="374" spans="1:5" x14ac:dyDescent="0.35">
      <c r="A374">
        <v>361</v>
      </c>
      <c r="B374">
        <f t="shared" ca="1" si="15"/>
        <v>5.276302920954537E-2</v>
      </c>
      <c r="C374">
        <f t="shared" ca="1" si="16"/>
        <v>0.26635341545377555</v>
      </c>
      <c r="D374" s="9">
        <f ca="1">Assumptions!B$3*(1+B374)^24*(1-C374/12)^24</f>
        <v>914224.91133947519</v>
      </c>
      <c r="E374" s="9">
        <f t="shared" ca="1" si="17"/>
        <v>10970698.936073702</v>
      </c>
    </row>
    <row r="375" spans="1:5" x14ac:dyDescent="0.35">
      <c r="A375">
        <v>362</v>
      </c>
      <c r="B375">
        <f t="shared" ca="1" si="15"/>
        <v>3.5095818577975654E-2</v>
      </c>
      <c r="C375">
        <f t="shared" ca="1" si="16"/>
        <v>0.19246818353364803</v>
      </c>
      <c r="D375" s="9">
        <f ca="1">Assumptions!B$3*(1+B375)^24*(1-C375/12)^24</f>
        <v>708073.37072651181</v>
      </c>
      <c r="E375" s="9">
        <f t="shared" ca="1" si="17"/>
        <v>8496880.4487181418</v>
      </c>
    </row>
    <row r="376" spans="1:5" x14ac:dyDescent="0.35">
      <c r="A376">
        <v>363</v>
      </c>
      <c r="B376">
        <f t="shared" ca="1" si="15"/>
        <v>2.9461920731306653E-2</v>
      </c>
      <c r="C376">
        <f t="shared" ca="1" si="16"/>
        <v>0.34136837576238815</v>
      </c>
      <c r="D376" s="9">
        <f ca="1">Assumptions!B$3*(1+B376)^24*(1-C376/12)^24</f>
        <v>458052.0001055625</v>
      </c>
      <c r="E376" s="9">
        <f t="shared" ca="1" si="17"/>
        <v>5496624.0012667496</v>
      </c>
    </row>
    <row r="377" spans="1:5" x14ac:dyDescent="0.35">
      <c r="A377">
        <v>364</v>
      </c>
      <c r="B377">
        <f t="shared" ca="1" si="15"/>
        <v>3.0532911317327882E-2</v>
      </c>
      <c r="C377">
        <f t="shared" ca="1" si="16"/>
        <v>0.19978879719846393</v>
      </c>
      <c r="D377" s="9">
        <f ca="1">Assumptions!B$3*(1+B377)^24*(1-C377/12)^24</f>
        <v>627430.30295497167</v>
      </c>
      <c r="E377" s="9">
        <f t="shared" ca="1" si="17"/>
        <v>7529163.6354596596</v>
      </c>
    </row>
    <row r="378" spans="1:5" x14ac:dyDescent="0.35">
      <c r="A378">
        <v>365</v>
      </c>
      <c r="B378">
        <f t="shared" ca="1" si="15"/>
        <v>2.6260468900203414E-2</v>
      </c>
      <c r="C378">
        <f t="shared" ca="1" si="16"/>
        <v>0.2396768079552819</v>
      </c>
      <c r="D378" s="9">
        <f ca="1">Assumptions!B$3*(1+B378)^24*(1-C378/12)^24</f>
        <v>523564.93251080601</v>
      </c>
      <c r="E378" s="9">
        <f t="shared" ca="1" si="17"/>
        <v>6282779.1901296722</v>
      </c>
    </row>
    <row r="379" spans="1:5" x14ac:dyDescent="0.35">
      <c r="A379">
        <v>366</v>
      </c>
      <c r="B379">
        <f t="shared" ca="1" si="15"/>
        <v>2.0530449964041179E-2</v>
      </c>
      <c r="C379">
        <f t="shared" ca="1" si="16"/>
        <v>0.30007279892409938</v>
      </c>
      <c r="D379" s="9">
        <f ca="1">Assumptions!B$3*(1+B379)^24*(1-C379/12)^24</f>
        <v>404524.67740320467</v>
      </c>
      <c r="E379" s="9">
        <f t="shared" ca="1" si="17"/>
        <v>4854296.1288384562</v>
      </c>
    </row>
    <row r="380" spans="1:5" x14ac:dyDescent="0.35">
      <c r="A380">
        <v>367</v>
      </c>
      <c r="B380">
        <f t="shared" ca="1" si="15"/>
        <v>3.249696823101992E-2</v>
      </c>
      <c r="C380">
        <f t="shared" ca="1" si="16"/>
        <v>0.3004438664426779</v>
      </c>
      <c r="D380" s="9">
        <f ca="1">Assumptions!B$3*(1+B380)^24*(1-C380/12)^24</f>
        <v>534714.62997955235</v>
      </c>
      <c r="E380" s="9">
        <f t="shared" ca="1" si="17"/>
        <v>6416575.5597546287</v>
      </c>
    </row>
    <row r="381" spans="1:5" x14ac:dyDescent="0.35">
      <c r="A381">
        <v>368</v>
      </c>
      <c r="B381">
        <f t="shared" ca="1" si="15"/>
        <v>3.2858998405448051E-2</v>
      </c>
      <c r="C381">
        <f t="shared" ca="1" si="16"/>
        <v>0.24132259716433518</v>
      </c>
      <c r="D381" s="9">
        <f ca="1">Assumptions!B$3*(1+B381)^24*(1-C381/12)^24</f>
        <v>608575.2566674425</v>
      </c>
      <c r="E381" s="9">
        <f t="shared" ca="1" si="17"/>
        <v>7302903.0800093096</v>
      </c>
    </row>
    <row r="382" spans="1:5" x14ac:dyDescent="0.35">
      <c r="A382">
        <v>369</v>
      </c>
      <c r="B382">
        <f t="shared" ca="1" si="15"/>
        <v>2.6973566772483953E-2</v>
      </c>
      <c r="C382">
        <f t="shared" ca="1" si="16"/>
        <v>0.29190858440803524</v>
      </c>
      <c r="D382" s="9">
        <f ca="1">Assumptions!B$3*(1+B382)^24*(1-C382/12)^24</f>
        <v>478426.09215222573</v>
      </c>
      <c r="E382" s="9">
        <f t="shared" ca="1" si="17"/>
        <v>5741113.1058267085</v>
      </c>
    </row>
    <row r="383" spans="1:5" x14ac:dyDescent="0.35">
      <c r="A383">
        <v>370</v>
      </c>
      <c r="B383">
        <f t="shared" ca="1" si="15"/>
        <v>4.2939430760156105E-2</v>
      </c>
      <c r="C383">
        <f t="shared" ca="1" si="16"/>
        <v>0.32206110359399703</v>
      </c>
      <c r="D383" s="9">
        <f ca="1">Assumptions!B$3*(1+B383)^24*(1-C383/12)^24</f>
        <v>651227.65129466378</v>
      </c>
      <c r="E383" s="9">
        <f t="shared" ca="1" si="17"/>
        <v>7814731.8155359654</v>
      </c>
    </row>
    <row r="384" spans="1:5" x14ac:dyDescent="0.35">
      <c r="A384">
        <v>371</v>
      </c>
      <c r="B384">
        <f t="shared" ca="1" si="15"/>
        <v>4.3296077835458836E-2</v>
      </c>
      <c r="C384">
        <f t="shared" ca="1" si="16"/>
        <v>0.18166636772196676</v>
      </c>
      <c r="D384" s="9">
        <f ca="1">Assumptions!B$3*(1+B384)^24*(1-C384/12)^24</f>
        <v>874697.06527140923</v>
      </c>
      <c r="E384" s="9">
        <f t="shared" ca="1" si="17"/>
        <v>10496364.783256911</v>
      </c>
    </row>
    <row r="385" spans="1:5" x14ac:dyDescent="0.35">
      <c r="A385">
        <v>372</v>
      </c>
      <c r="B385">
        <f t="shared" ca="1" si="15"/>
        <v>3.5031174356802752E-2</v>
      </c>
      <c r="C385">
        <f t="shared" ca="1" si="16"/>
        <v>0.16291397431840277</v>
      </c>
      <c r="D385" s="9">
        <f ca="1">Assumptions!B$3*(1+B385)^24*(1-C385/12)^24</f>
        <v>750729.70452668844</v>
      </c>
      <c r="E385" s="9">
        <f t="shared" ca="1" si="17"/>
        <v>9008756.4543202613</v>
      </c>
    </row>
    <row r="386" spans="1:5" x14ac:dyDescent="0.35">
      <c r="A386">
        <v>373</v>
      </c>
      <c r="B386">
        <f t="shared" ca="1" si="15"/>
        <v>1.4217155423595307E-2</v>
      </c>
      <c r="C386">
        <f t="shared" ca="1" si="16"/>
        <v>0.32753164528615158</v>
      </c>
      <c r="D386" s="9">
        <f ca="1">Assumptions!B$3*(1+B386)^24*(1-C386/12)^24</f>
        <v>329438.04635635024</v>
      </c>
      <c r="E386" s="9">
        <f t="shared" ca="1" si="17"/>
        <v>3953256.5562762031</v>
      </c>
    </row>
    <row r="387" spans="1:5" x14ac:dyDescent="0.35">
      <c r="A387">
        <v>374</v>
      </c>
      <c r="B387">
        <f t="shared" ca="1" si="15"/>
        <v>2.7659121052605921E-2</v>
      </c>
      <c r="C387">
        <f t="shared" ca="1" si="16"/>
        <v>0.27972779732756597</v>
      </c>
      <c r="D387" s="9">
        <f ca="1">Assumptions!B$3*(1+B387)^24*(1-C387/12)^24</f>
        <v>498435.17163042532</v>
      </c>
      <c r="E387" s="9">
        <f t="shared" ca="1" si="17"/>
        <v>5981222.0595651036</v>
      </c>
    </row>
    <row r="388" spans="1:5" x14ac:dyDescent="0.35">
      <c r="A388">
        <v>375</v>
      </c>
      <c r="B388">
        <f t="shared" ca="1" si="15"/>
        <v>3.7471967374118509E-2</v>
      </c>
      <c r="C388">
        <f t="shared" ca="1" si="16"/>
        <v>0.33587953694745931</v>
      </c>
      <c r="D388" s="9">
        <f ca="1">Assumptions!B$3*(1+B388)^24*(1-C388/12)^24</f>
        <v>557964.77646105771</v>
      </c>
      <c r="E388" s="9">
        <f t="shared" ca="1" si="17"/>
        <v>6695577.3175326921</v>
      </c>
    </row>
    <row r="389" spans="1:5" x14ac:dyDescent="0.35">
      <c r="A389">
        <v>376</v>
      </c>
      <c r="B389">
        <f t="shared" ca="1" si="15"/>
        <v>4.543829164449234E-2</v>
      </c>
      <c r="C389">
        <f t="shared" ca="1" si="16"/>
        <v>0.32338089424192562</v>
      </c>
      <c r="D389" s="9">
        <f ca="1">Assumptions!B$3*(1+B389)^24*(1-C389/12)^24</f>
        <v>687857.33913609851</v>
      </c>
      <c r="E389" s="9">
        <f t="shared" ca="1" si="17"/>
        <v>8254288.0696331821</v>
      </c>
    </row>
    <row r="390" spans="1:5" x14ac:dyDescent="0.35">
      <c r="A390">
        <v>377</v>
      </c>
      <c r="B390">
        <f t="shared" ca="1" si="15"/>
        <v>2.9871116041174182E-2</v>
      </c>
      <c r="C390">
        <f t="shared" ca="1" si="16"/>
        <v>0.23436785524059614</v>
      </c>
      <c r="D390" s="9">
        <f ca="1">Assumptions!B$3*(1+B390)^24*(1-C390/12)^24</f>
        <v>575812.95031623146</v>
      </c>
      <c r="E390" s="9">
        <f t="shared" ca="1" si="17"/>
        <v>6909755.4037947776</v>
      </c>
    </row>
    <row r="391" spans="1:5" x14ac:dyDescent="0.35">
      <c r="A391">
        <v>378</v>
      </c>
      <c r="B391">
        <f t="shared" ca="1" si="15"/>
        <v>3.2883996782374296E-2</v>
      </c>
      <c r="C391">
        <f t="shared" ca="1" si="16"/>
        <v>0.36923560467681305</v>
      </c>
      <c r="D391" s="9">
        <f ca="1">Assumptions!B$3*(1+B391)^24*(1-C391/12)^24</f>
        <v>468340.095065678</v>
      </c>
      <c r="E391" s="9">
        <f t="shared" ca="1" si="17"/>
        <v>5620081.1407881361</v>
      </c>
    </row>
    <row r="392" spans="1:5" x14ac:dyDescent="0.35">
      <c r="A392">
        <v>379</v>
      </c>
      <c r="B392">
        <f t="shared" ca="1" si="15"/>
        <v>2.2350307516538402E-2</v>
      </c>
      <c r="C392">
        <f t="shared" ca="1" si="16"/>
        <v>0.240201589495284</v>
      </c>
      <c r="D392" s="9">
        <f ca="1">Assumptions!B$3*(1+B392)^24*(1-C392/12)^24</f>
        <v>477217.74973411451</v>
      </c>
      <c r="E392" s="9">
        <f t="shared" ca="1" si="17"/>
        <v>5726612.9968093745</v>
      </c>
    </row>
    <row r="393" spans="1:5" x14ac:dyDescent="0.35">
      <c r="A393">
        <v>380</v>
      </c>
      <c r="B393">
        <f t="shared" ca="1" si="15"/>
        <v>2.7826857252465285E-2</v>
      </c>
      <c r="C393">
        <f t="shared" ca="1" si="16"/>
        <v>0.25854011227247142</v>
      </c>
      <c r="D393" s="9">
        <f ca="1">Assumptions!B$3*(1+B393)^24*(1-C393/12)^24</f>
        <v>522559.11030915141</v>
      </c>
      <c r="E393" s="9">
        <f t="shared" ca="1" si="17"/>
        <v>6270709.3237098167</v>
      </c>
    </row>
    <row r="394" spans="1:5" x14ac:dyDescent="0.35">
      <c r="A394">
        <v>381</v>
      </c>
      <c r="B394">
        <f t="shared" ca="1" si="15"/>
        <v>6.0820433412263411E-3</v>
      </c>
      <c r="C394">
        <f t="shared" ca="1" si="16"/>
        <v>0.32250334544787473</v>
      </c>
      <c r="D394" s="9">
        <f ca="1">Assumptions!B$3*(1+B394)^24*(1-C394/12)^24</f>
        <v>274360.48114052595</v>
      </c>
      <c r="E394" s="9">
        <f t="shared" ca="1" si="17"/>
        <v>3292325.7736863112</v>
      </c>
    </row>
    <row r="395" spans="1:5" x14ac:dyDescent="0.35">
      <c r="A395">
        <v>382</v>
      </c>
      <c r="B395">
        <f t="shared" ca="1" si="15"/>
        <v>3.7166651180853716E-2</v>
      </c>
      <c r="C395">
        <f t="shared" ca="1" si="16"/>
        <v>0.13172782913020598</v>
      </c>
      <c r="D395" s="9">
        <f ca="1">Assumptions!B$3*(1+B395)^24*(1-C395/12)^24</f>
        <v>840216.0372875625</v>
      </c>
      <c r="E395" s="9">
        <f t="shared" ca="1" si="17"/>
        <v>10082592.44745075</v>
      </c>
    </row>
    <row r="396" spans="1:5" x14ac:dyDescent="0.35">
      <c r="A396">
        <v>383</v>
      </c>
      <c r="B396">
        <f t="shared" ca="1" si="15"/>
        <v>1.8560841351806624E-2</v>
      </c>
      <c r="C396">
        <f t="shared" ca="1" si="16"/>
        <v>0.27525455918334069</v>
      </c>
      <c r="D396" s="9">
        <f ca="1">Assumptions!B$3*(1+B396)^24*(1-C396/12)^24</f>
        <v>406345.56782360055</v>
      </c>
      <c r="E396" s="9">
        <f t="shared" ca="1" si="17"/>
        <v>4876146.8138832068</v>
      </c>
    </row>
    <row r="397" spans="1:5" x14ac:dyDescent="0.35">
      <c r="A397">
        <v>384</v>
      </c>
      <c r="B397">
        <f t="shared" ca="1" si="15"/>
        <v>2.1833263478679948E-2</v>
      </c>
      <c r="C397">
        <f t="shared" ca="1" si="16"/>
        <v>0.17139565438584986</v>
      </c>
      <c r="D397" s="9">
        <f ca="1">Assumptions!B$3*(1+B397)^24*(1-C397/12)^24</f>
        <v>542314.18814450689</v>
      </c>
      <c r="E397" s="9">
        <f t="shared" ca="1" si="17"/>
        <v>6507770.2577340826</v>
      </c>
    </row>
    <row r="398" spans="1:5" x14ac:dyDescent="0.35">
      <c r="A398">
        <v>385</v>
      </c>
      <c r="B398">
        <f t="shared" ca="1" si="15"/>
        <v>3.4472203826087747E-2</v>
      </c>
      <c r="C398">
        <f t="shared" ca="1" si="16"/>
        <v>0.3325766844182903</v>
      </c>
      <c r="D398" s="9">
        <f ca="1">Assumptions!B$3*(1+B398)^24*(1-C398/12)^24</f>
        <v>524054.8128638856</v>
      </c>
      <c r="E398" s="9">
        <f t="shared" ca="1" si="17"/>
        <v>6288657.754366627</v>
      </c>
    </row>
    <row r="399" spans="1:5" x14ac:dyDescent="0.35">
      <c r="A399">
        <v>386</v>
      </c>
      <c r="B399">
        <f t="shared" ca="1" si="15"/>
        <v>3.3974890693991656E-2</v>
      </c>
      <c r="C399">
        <f t="shared" ca="1" si="16"/>
        <v>0.33800531564252795</v>
      </c>
      <c r="D399" s="9">
        <f ca="1">Assumptions!B$3*(1+B399)^24*(1-C399/12)^24</f>
        <v>512287.70065822738</v>
      </c>
      <c r="E399" s="9">
        <f t="shared" ca="1" si="17"/>
        <v>6147452.4078987287</v>
      </c>
    </row>
    <row r="400" spans="1:5" x14ac:dyDescent="0.35">
      <c r="A400">
        <v>387</v>
      </c>
      <c r="B400">
        <f t="shared" ref="B400:B463" ca="1" si="18">_xlfn.NORM.INV(RAND(), $B$4, $B$5)</f>
        <v>1.9570876911418272E-2</v>
      </c>
      <c r="C400">
        <f t="shared" ref="C400:C463" ca="1" si="19">+_xlfn.NORM.INV(RAND(), $B$6, $B$7)</f>
        <v>0.31708771235721828</v>
      </c>
      <c r="D400" s="9">
        <f ca="1">Assumptions!B$3*(1+B400)^24*(1-C400/12)^24</f>
        <v>381918.66410914826</v>
      </c>
      <c r="E400" s="9">
        <f t="shared" ref="E400:E463" ca="1" si="20">D400*12</f>
        <v>4583023.9693097789</v>
      </c>
    </row>
    <row r="401" spans="1:5" x14ac:dyDescent="0.35">
      <c r="A401">
        <v>388</v>
      </c>
      <c r="B401">
        <f t="shared" ca="1" si="18"/>
        <v>3.230064217588613E-2</v>
      </c>
      <c r="C401">
        <f t="shared" ca="1" si="19"/>
        <v>0.28257994197550901</v>
      </c>
      <c r="D401" s="9">
        <f ca="1">Assumptions!B$3*(1+B401)^24*(1-C401/12)^24</f>
        <v>552131.71600179956</v>
      </c>
      <c r="E401" s="9">
        <f t="shared" ca="1" si="20"/>
        <v>6625580.5920215948</v>
      </c>
    </row>
    <row r="402" spans="1:5" x14ac:dyDescent="0.35">
      <c r="A402">
        <v>389</v>
      </c>
      <c r="B402">
        <f t="shared" ca="1" si="18"/>
        <v>2.4766533091824069E-2</v>
      </c>
      <c r="C402">
        <f t="shared" ca="1" si="19"/>
        <v>0.26999982794557897</v>
      </c>
      <c r="D402" s="9">
        <f ca="1">Assumptions!B$3*(1+B402)^24*(1-C402/12)^24</f>
        <v>475200.43190511607</v>
      </c>
      <c r="E402" s="9">
        <f t="shared" ca="1" si="20"/>
        <v>5702405.1828613933</v>
      </c>
    </row>
    <row r="403" spans="1:5" x14ac:dyDescent="0.35">
      <c r="A403">
        <v>390</v>
      </c>
      <c r="B403">
        <f t="shared" ca="1" si="18"/>
        <v>3.6358838597330141E-2</v>
      </c>
      <c r="C403">
        <f t="shared" ca="1" si="19"/>
        <v>0.27135677881541947</v>
      </c>
      <c r="D403" s="9">
        <f ca="1">Assumptions!B$3*(1+B403)^24*(1-C403/12)^24</f>
        <v>620749.41691784933</v>
      </c>
      <c r="E403" s="9">
        <f t="shared" ca="1" si="20"/>
        <v>7448993.003014192</v>
      </c>
    </row>
    <row r="404" spans="1:5" x14ac:dyDescent="0.35">
      <c r="A404">
        <v>391</v>
      </c>
      <c r="B404">
        <f t="shared" ca="1" si="18"/>
        <v>4.8800805925358542E-2</v>
      </c>
      <c r="C404">
        <f t="shared" ca="1" si="19"/>
        <v>0.32463074343650139</v>
      </c>
      <c r="D404" s="9">
        <f ca="1">Assumptions!B$3*(1+B404)^24*(1-C404/12)^24</f>
        <v>741059.82218532357</v>
      </c>
      <c r="E404" s="9">
        <f t="shared" ca="1" si="20"/>
        <v>8892717.8662238829</v>
      </c>
    </row>
    <row r="405" spans="1:5" x14ac:dyDescent="0.35">
      <c r="A405">
        <v>392</v>
      </c>
      <c r="B405">
        <f t="shared" ca="1" si="18"/>
        <v>3.3158222454857209E-2</v>
      </c>
      <c r="C405">
        <f t="shared" ca="1" si="19"/>
        <v>0.27202767764724262</v>
      </c>
      <c r="D405" s="9">
        <f ca="1">Assumptions!B$3*(1+B405)^24*(1-C405/12)^24</f>
        <v>575546.50891088322</v>
      </c>
      <c r="E405" s="9">
        <f t="shared" ca="1" si="20"/>
        <v>6906558.1069305986</v>
      </c>
    </row>
    <row r="406" spans="1:5" x14ac:dyDescent="0.35">
      <c r="A406">
        <v>393</v>
      </c>
      <c r="B406">
        <f t="shared" ca="1" si="18"/>
        <v>2.7738647773726598E-2</v>
      </c>
      <c r="C406">
        <f t="shared" ca="1" si="19"/>
        <v>0.31854146112966419</v>
      </c>
      <c r="D406" s="9">
        <f ca="1">Assumptions!B$3*(1+B406)^24*(1-C406/12)^24</f>
        <v>461147.8818541494</v>
      </c>
      <c r="E406" s="9">
        <f t="shared" ca="1" si="20"/>
        <v>5533774.5822497923</v>
      </c>
    </row>
    <row r="407" spans="1:5" x14ac:dyDescent="0.35">
      <c r="A407">
        <v>394</v>
      </c>
      <c r="B407">
        <f t="shared" ca="1" si="18"/>
        <v>5.3901063504731679E-2</v>
      </c>
      <c r="C407">
        <f t="shared" ca="1" si="19"/>
        <v>0.20476105964621003</v>
      </c>
      <c r="D407" s="9">
        <f ca="1">Assumptions!B$3*(1+B407)^24*(1-C407/12)^24</f>
        <v>1063858.899086877</v>
      </c>
      <c r="E407" s="9">
        <f t="shared" ca="1" si="20"/>
        <v>12766306.789042525</v>
      </c>
    </row>
    <row r="408" spans="1:5" x14ac:dyDescent="0.35">
      <c r="A408">
        <v>395</v>
      </c>
      <c r="B408">
        <f t="shared" ca="1" si="18"/>
        <v>2.8259690630374517E-2</v>
      </c>
      <c r="C408">
        <f t="shared" ca="1" si="19"/>
        <v>0.30628209053913857</v>
      </c>
      <c r="D408" s="9">
        <f ca="1">Assumptions!B$3*(1+B408)^24*(1-C408/12)^24</f>
        <v>478691.98166305985</v>
      </c>
      <c r="E408" s="9">
        <f t="shared" ca="1" si="20"/>
        <v>5744303.779956718</v>
      </c>
    </row>
    <row r="409" spans="1:5" x14ac:dyDescent="0.35">
      <c r="A409">
        <v>396</v>
      </c>
      <c r="B409">
        <f t="shared" ca="1" si="18"/>
        <v>3.9569683723077197E-2</v>
      </c>
      <c r="C409">
        <f t="shared" ca="1" si="19"/>
        <v>0.29593313581461894</v>
      </c>
      <c r="D409" s="9">
        <f ca="1">Assumptions!B$3*(1+B409)^24*(1-C409/12)^24</f>
        <v>635763.4803945052</v>
      </c>
      <c r="E409" s="9">
        <f t="shared" ca="1" si="20"/>
        <v>7629161.7647340624</v>
      </c>
    </row>
    <row r="410" spans="1:5" x14ac:dyDescent="0.35">
      <c r="A410">
        <v>397</v>
      </c>
      <c r="B410">
        <f t="shared" ca="1" si="18"/>
        <v>1.9750754389588218E-2</v>
      </c>
      <c r="C410">
        <f t="shared" ca="1" si="19"/>
        <v>0.2361221620659662</v>
      </c>
      <c r="D410" s="9">
        <f ca="1">Assumptions!B$3*(1+B410)^24*(1-C410/12)^24</f>
        <v>452683.80939690053</v>
      </c>
      <c r="E410" s="9">
        <f t="shared" ca="1" si="20"/>
        <v>5432205.7127628066</v>
      </c>
    </row>
    <row r="411" spans="1:5" x14ac:dyDescent="0.35">
      <c r="A411">
        <v>398</v>
      </c>
      <c r="B411">
        <f t="shared" ca="1" si="18"/>
        <v>1.9987950038958049E-2</v>
      </c>
      <c r="C411">
        <f t="shared" ca="1" si="19"/>
        <v>0.35197638914295354</v>
      </c>
      <c r="D411" s="9">
        <f ca="1">Assumptions!B$3*(1+B411)^24*(1-C411/12)^24</f>
        <v>358972.16555434559</v>
      </c>
      <c r="E411" s="9">
        <f t="shared" ca="1" si="20"/>
        <v>4307665.986652147</v>
      </c>
    </row>
    <row r="412" spans="1:5" x14ac:dyDescent="0.35">
      <c r="A412">
        <v>399</v>
      </c>
      <c r="B412">
        <f t="shared" ca="1" si="18"/>
        <v>3.5252937000810905E-2</v>
      </c>
      <c r="C412">
        <f t="shared" ca="1" si="19"/>
        <v>0.21604442573539262</v>
      </c>
      <c r="D412" s="9">
        <f ca="1">Assumptions!B$3*(1+B412)^24*(1-C412/12)^24</f>
        <v>677372.56133079214</v>
      </c>
      <c r="E412" s="9">
        <f t="shared" ca="1" si="20"/>
        <v>8128470.7359695062</v>
      </c>
    </row>
    <row r="413" spans="1:5" x14ac:dyDescent="0.35">
      <c r="A413">
        <v>400</v>
      </c>
      <c r="B413">
        <f t="shared" ca="1" si="18"/>
        <v>4.1997400352153269E-2</v>
      </c>
      <c r="C413">
        <f t="shared" ca="1" si="19"/>
        <v>0.30914063906337941</v>
      </c>
      <c r="D413" s="9">
        <f ca="1">Assumptions!B$3*(1+B413)^24*(1-C413/12)^24</f>
        <v>654394.57368052425</v>
      </c>
      <c r="E413" s="9">
        <f t="shared" ca="1" si="20"/>
        <v>7852734.884166291</v>
      </c>
    </row>
    <row r="414" spans="1:5" x14ac:dyDescent="0.35">
      <c r="A414">
        <v>401</v>
      </c>
      <c r="B414">
        <f t="shared" ca="1" si="18"/>
        <v>2.58132391660136E-2</v>
      </c>
      <c r="C414">
        <f t="shared" ca="1" si="19"/>
        <v>0.21659044157781288</v>
      </c>
      <c r="D414" s="9">
        <f ca="1">Assumptions!B$3*(1+B414)^24*(1-C414/12)^24</f>
        <v>543085.88474618515</v>
      </c>
      <c r="E414" s="9">
        <f t="shared" ca="1" si="20"/>
        <v>6517030.6169542223</v>
      </c>
    </row>
    <row r="415" spans="1:5" x14ac:dyDescent="0.35">
      <c r="A415">
        <v>402</v>
      </c>
      <c r="B415">
        <f t="shared" ca="1" si="18"/>
        <v>2.6747080445490862E-2</v>
      </c>
      <c r="C415">
        <f t="shared" ca="1" si="19"/>
        <v>0.3121513360244339</v>
      </c>
      <c r="D415" s="9">
        <f ca="1">Assumptions!B$3*(1+B415)^24*(1-C415/12)^24</f>
        <v>456540.51408189669</v>
      </c>
      <c r="E415" s="9">
        <f t="shared" ca="1" si="20"/>
        <v>5478486.16898276</v>
      </c>
    </row>
    <row r="416" spans="1:5" x14ac:dyDescent="0.35">
      <c r="A416">
        <v>403</v>
      </c>
      <c r="B416">
        <f t="shared" ca="1" si="18"/>
        <v>3.5608580469512832E-2</v>
      </c>
      <c r="C416">
        <f t="shared" ca="1" si="19"/>
        <v>0.24626632602295559</v>
      </c>
      <c r="D416" s="9">
        <f ca="1">Assumptions!B$3*(1+B416)^24*(1-C416/12)^24</f>
        <v>642157.61444884061</v>
      </c>
      <c r="E416" s="9">
        <f t="shared" ca="1" si="20"/>
        <v>7705891.3733860869</v>
      </c>
    </row>
    <row r="417" spans="1:5" x14ac:dyDescent="0.35">
      <c r="A417">
        <v>404</v>
      </c>
      <c r="B417">
        <f t="shared" ca="1" si="18"/>
        <v>1.2429309143521854E-2</v>
      </c>
      <c r="C417">
        <f t="shared" ca="1" si="19"/>
        <v>0.28177370487823244</v>
      </c>
      <c r="D417" s="9">
        <f ca="1">Assumptions!B$3*(1+B417)^24*(1-C417/12)^24</f>
        <v>346867.91343712865</v>
      </c>
      <c r="E417" s="9">
        <f t="shared" ca="1" si="20"/>
        <v>4162414.9612455438</v>
      </c>
    </row>
    <row r="418" spans="1:5" x14ac:dyDescent="0.35">
      <c r="A418">
        <v>405</v>
      </c>
      <c r="B418">
        <f t="shared" ca="1" si="18"/>
        <v>1.6377790137914849E-2</v>
      </c>
      <c r="C418">
        <f t="shared" ca="1" si="19"/>
        <v>0.26498638390069651</v>
      </c>
      <c r="D418" s="9">
        <f ca="1">Assumptions!B$3*(1+B418)^24*(1-C418/12)^24</f>
        <v>394145.2639375357</v>
      </c>
      <c r="E418" s="9">
        <f t="shared" ca="1" si="20"/>
        <v>4729743.1672504283</v>
      </c>
    </row>
    <row r="419" spans="1:5" x14ac:dyDescent="0.35">
      <c r="A419">
        <v>406</v>
      </c>
      <c r="B419">
        <f t="shared" ca="1" si="18"/>
        <v>4.240963170858713E-3</v>
      </c>
      <c r="C419">
        <f t="shared" ca="1" si="19"/>
        <v>0.33736932862577046</v>
      </c>
      <c r="D419" s="9">
        <f ca="1">Assumptions!B$3*(1+B419)^24*(1-C419/12)^24</f>
        <v>254655.40318976593</v>
      </c>
      <c r="E419" s="9">
        <f t="shared" ca="1" si="20"/>
        <v>3055864.8382771909</v>
      </c>
    </row>
    <row r="420" spans="1:5" x14ac:dyDescent="0.35">
      <c r="A420">
        <v>407</v>
      </c>
      <c r="B420">
        <f t="shared" ca="1" si="18"/>
        <v>1.4701450897999745E-2</v>
      </c>
      <c r="C420">
        <f t="shared" ca="1" si="19"/>
        <v>0.18301008543645431</v>
      </c>
      <c r="D420" s="9">
        <f ca="1">Assumptions!B$3*(1+B420)^24*(1-C420/12)^24</f>
        <v>447723.08010006358</v>
      </c>
      <c r="E420" s="9">
        <f t="shared" ca="1" si="20"/>
        <v>5372676.9612007625</v>
      </c>
    </row>
    <row r="421" spans="1:5" x14ac:dyDescent="0.35">
      <c r="A421">
        <v>408</v>
      </c>
      <c r="B421">
        <f t="shared" ca="1" si="18"/>
        <v>2.7620341197520878E-2</v>
      </c>
      <c r="C421">
        <f t="shared" ca="1" si="19"/>
        <v>0.20067088559975044</v>
      </c>
      <c r="D421" s="9">
        <f ca="1">Assumptions!B$3*(1+B421)^24*(1-C421/12)^24</f>
        <v>585175.51573144342</v>
      </c>
      <c r="E421" s="9">
        <f t="shared" ca="1" si="20"/>
        <v>7022106.188777321</v>
      </c>
    </row>
    <row r="422" spans="1:5" x14ac:dyDescent="0.35">
      <c r="A422">
        <v>409</v>
      </c>
      <c r="B422">
        <f t="shared" ca="1" si="18"/>
        <v>3.7560770787945681E-2</v>
      </c>
      <c r="C422">
        <f t="shared" ca="1" si="19"/>
        <v>0.27348140391615394</v>
      </c>
      <c r="D422" s="9">
        <f ca="1">Assumptions!B$3*(1+B422)^24*(1-C422/12)^24</f>
        <v>635490.88607168314</v>
      </c>
      <c r="E422" s="9">
        <f t="shared" ca="1" si="20"/>
        <v>7625890.6328601977</v>
      </c>
    </row>
    <row r="423" spans="1:5" x14ac:dyDescent="0.35">
      <c r="A423">
        <v>410</v>
      </c>
      <c r="B423">
        <f t="shared" ca="1" si="18"/>
        <v>3.5828425559210245E-2</v>
      </c>
      <c r="C423">
        <f t="shared" ca="1" si="19"/>
        <v>0.23956484820685287</v>
      </c>
      <c r="D423" s="9">
        <f ca="1">Assumptions!B$3*(1+B423)^24*(1-C423/12)^24</f>
        <v>654327.49099168694</v>
      </c>
      <c r="E423" s="9">
        <f t="shared" ca="1" si="20"/>
        <v>7851929.8919002432</v>
      </c>
    </row>
    <row r="424" spans="1:5" x14ac:dyDescent="0.35">
      <c r="A424">
        <v>411</v>
      </c>
      <c r="B424">
        <f t="shared" ca="1" si="18"/>
        <v>3.2543394811979418E-2</v>
      </c>
      <c r="C424">
        <f t="shared" ca="1" si="19"/>
        <v>0.31259133866294531</v>
      </c>
      <c r="D424" s="9">
        <f ca="1">Assumptions!B$3*(1+B424)^24*(1-C424/12)^24</f>
        <v>522111.18547169486</v>
      </c>
      <c r="E424" s="9">
        <f t="shared" ca="1" si="20"/>
        <v>6265334.2256603381</v>
      </c>
    </row>
    <row r="425" spans="1:5" x14ac:dyDescent="0.35">
      <c r="A425">
        <v>412</v>
      </c>
      <c r="B425">
        <f t="shared" ca="1" si="18"/>
        <v>4.938415148560775E-2</v>
      </c>
      <c r="C425">
        <f t="shared" ca="1" si="19"/>
        <v>0.29300038625954028</v>
      </c>
      <c r="D425" s="9">
        <f ca="1">Assumptions!B$3*(1+B425)^24*(1-C425/12)^24</f>
        <v>801398.43761883397</v>
      </c>
      <c r="E425" s="9">
        <f t="shared" ca="1" si="20"/>
        <v>9616781.2514260076</v>
      </c>
    </row>
    <row r="426" spans="1:5" x14ac:dyDescent="0.35">
      <c r="A426">
        <v>413</v>
      </c>
      <c r="B426">
        <f t="shared" ca="1" si="18"/>
        <v>3.3474986171684498E-2</v>
      </c>
      <c r="C426">
        <f t="shared" ca="1" si="19"/>
        <v>0.3753443361480438</v>
      </c>
      <c r="D426" s="9">
        <f ca="1">Assumptions!B$3*(1+B426)^24*(1-C426/12)^24</f>
        <v>468864.74874517764</v>
      </c>
      <c r="E426" s="9">
        <f t="shared" ca="1" si="20"/>
        <v>5626376.9849421317</v>
      </c>
    </row>
    <row r="427" spans="1:5" x14ac:dyDescent="0.35">
      <c r="A427">
        <v>414</v>
      </c>
      <c r="B427">
        <f t="shared" ca="1" si="18"/>
        <v>1.9858428728285971E-2</v>
      </c>
      <c r="C427">
        <f t="shared" ca="1" si="19"/>
        <v>0.20438815857429513</v>
      </c>
      <c r="D427" s="9">
        <f ca="1">Assumptions!B$3*(1+B427)^24*(1-C427/12)^24</f>
        <v>484144.12724141235</v>
      </c>
      <c r="E427" s="9">
        <f t="shared" ca="1" si="20"/>
        <v>5809729.526896948</v>
      </c>
    </row>
    <row r="428" spans="1:5" x14ac:dyDescent="0.35">
      <c r="A428">
        <v>415</v>
      </c>
      <c r="B428">
        <f t="shared" ca="1" si="18"/>
        <v>3.161859075178295E-2</v>
      </c>
      <c r="C428">
        <f t="shared" ca="1" si="19"/>
        <v>0.24533352369780773</v>
      </c>
      <c r="D428" s="9">
        <f ca="1">Assumptions!B$3*(1+B428)^24*(1-C428/12)^24</f>
        <v>586453.08833166573</v>
      </c>
      <c r="E428" s="9">
        <f t="shared" ca="1" si="20"/>
        <v>7037437.0599799883</v>
      </c>
    </row>
    <row r="429" spans="1:5" x14ac:dyDescent="0.35">
      <c r="A429">
        <v>416</v>
      </c>
      <c r="B429">
        <f t="shared" ca="1" si="18"/>
        <v>3.5522675454915525E-2</v>
      </c>
      <c r="C429">
        <f t="shared" ca="1" si="19"/>
        <v>0.2334405904968414</v>
      </c>
      <c r="D429" s="9">
        <f ca="1">Assumptions!B$3*(1+B429)^24*(1-C429/12)^24</f>
        <v>657876.69063839153</v>
      </c>
      <c r="E429" s="9">
        <f t="shared" ca="1" si="20"/>
        <v>7894520.2876606984</v>
      </c>
    </row>
    <row r="430" spans="1:5" x14ac:dyDescent="0.35">
      <c r="A430">
        <v>417</v>
      </c>
      <c r="B430">
        <f t="shared" ca="1" si="18"/>
        <v>2.2019458834129202E-2</v>
      </c>
      <c r="C430">
        <f t="shared" ca="1" si="19"/>
        <v>0.31682741657578906</v>
      </c>
      <c r="D430" s="9">
        <f ca="1">Assumptions!B$3*(1+B430)^24*(1-C430/12)^24</f>
        <v>404766.84923371155</v>
      </c>
      <c r="E430" s="9">
        <f t="shared" ca="1" si="20"/>
        <v>4857202.1908045383</v>
      </c>
    </row>
    <row r="431" spans="1:5" x14ac:dyDescent="0.35">
      <c r="A431">
        <v>418</v>
      </c>
      <c r="B431">
        <f t="shared" ca="1" si="18"/>
        <v>7.0427161824477454E-3</v>
      </c>
      <c r="C431">
        <f t="shared" ca="1" si="19"/>
        <v>0.29031787198389419</v>
      </c>
      <c r="D431" s="9">
        <f ca="1">Assumptions!B$3*(1+B431)^24*(1-C431/12)^24</f>
        <v>299887.2045787492</v>
      </c>
      <c r="E431" s="9">
        <f t="shared" ca="1" si="20"/>
        <v>3598646.4549449906</v>
      </c>
    </row>
    <row r="432" spans="1:5" x14ac:dyDescent="0.35">
      <c r="A432">
        <v>419</v>
      </c>
      <c r="B432">
        <f t="shared" ca="1" si="18"/>
        <v>3.6289553365437974E-2</v>
      </c>
      <c r="C432">
        <f t="shared" ca="1" si="19"/>
        <v>0.26653720539592624</v>
      </c>
      <c r="D432" s="9">
        <f ca="1">Assumptions!B$3*(1+B432)^24*(1-C432/12)^24</f>
        <v>625895.27118091891</v>
      </c>
      <c r="E432" s="9">
        <f t="shared" ca="1" si="20"/>
        <v>7510743.2541710269</v>
      </c>
    </row>
    <row r="433" spans="1:5" x14ac:dyDescent="0.35">
      <c r="A433">
        <v>420</v>
      </c>
      <c r="B433">
        <f t="shared" ca="1" si="18"/>
        <v>1.6548946731680024E-2</v>
      </c>
      <c r="C433">
        <f t="shared" ca="1" si="19"/>
        <v>0.26033992174672088</v>
      </c>
      <c r="D433" s="9">
        <f ca="1">Assumptions!B$3*(1+B433)^24*(1-C433/12)^24</f>
        <v>399519.12767055799</v>
      </c>
      <c r="E433" s="9">
        <f t="shared" ca="1" si="20"/>
        <v>4794229.5320466962</v>
      </c>
    </row>
    <row r="434" spans="1:5" x14ac:dyDescent="0.35">
      <c r="A434">
        <v>421</v>
      </c>
      <c r="B434">
        <f t="shared" ca="1" si="18"/>
        <v>2.4954979018188245E-2</v>
      </c>
      <c r="C434">
        <f t="shared" ca="1" si="19"/>
        <v>0.30410832261959259</v>
      </c>
      <c r="D434" s="9">
        <f ca="1">Assumptions!B$3*(1+B434)^24*(1-C434/12)^24</f>
        <v>445083.01164059271</v>
      </c>
      <c r="E434" s="9">
        <f t="shared" ca="1" si="20"/>
        <v>5340996.1396871125</v>
      </c>
    </row>
    <row r="435" spans="1:5" x14ac:dyDescent="0.35">
      <c r="A435">
        <v>422</v>
      </c>
      <c r="B435">
        <f t="shared" ca="1" si="18"/>
        <v>3.0386569833179302E-2</v>
      </c>
      <c r="C435">
        <f t="shared" ca="1" si="19"/>
        <v>0.27022489395533561</v>
      </c>
      <c r="D435" s="9">
        <f ca="1">Assumptions!B$3*(1+B435)^24*(1-C435/12)^24</f>
        <v>541605.38184813294</v>
      </c>
      <c r="E435" s="9">
        <f t="shared" ca="1" si="20"/>
        <v>6499264.5821775952</v>
      </c>
    </row>
    <row r="436" spans="1:5" x14ac:dyDescent="0.35">
      <c r="A436">
        <v>423</v>
      </c>
      <c r="B436">
        <f t="shared" ca="1" si="18"/>
        <v>2.3551189533383195E-2</v>
      </c>
      <c r="C436">
        <f t="shared" ca="1" si="19"/>
        <v>0.26456286470148621</v>
      </c>
      <c r="D436" s="9">
        <f ca="1">Assumptions!B$3*(1+B436)^24*(1-C436/12)^24</f>
        <v>467022.81988342089</v>
      </c>
      <c r="E436" s="9">
        <f t="shared" ca="1" si="20"/>
        <v>5604273.8386010509</v>
      </c>
    </row>
    <row r="437" spans="1:5" x14ac:dyDescent="0.35">
      <c r="A437">
        <v>424</v>
      </c>
      <c r="B437">
        <f t="shared" ca="1" si="18"/>
        <v>4.7608943414232621E-2</v>
      </c>
      <c r="C437">
        <f t="shared" ca="1" si="19"/>
        <v>0.1127018638081751</v>
      </c>
      <c r="D437" s="9">
        <f ca="1">Assumptions!B$3*(1+B437)^24*(1-C437/12)^24</f>
        <v>1110458.7494491246</v>
      </c>
      <c r="E437" s="9">
        <f t="shared" ca="1" si="20"/>
        <v>13325504.993389495</v>
      </c>
    </row>
    <row r="438" spans="1:5" x14ac:dyDescent="0.35">
      <c r="A438">
        <v>425</v>
      </c>
      <c r="B438">
        <f t="shared" ca="1" si="18"/>
        <v>2.5380522490533654E-2</v>
      </c>
      <c r="C438">
        <f t="shared" ca="1" si="19"/>
        <v>0.25252688516706301</v>
      </c>
      <c r="D438" s="9">
        <f ca="1">Assumptions!B$3*(1+B438)^24*(1-C438/12)^24</f>
        <v>499613.92444472515</v>
      </c>
      <c r="E438" s="9">
        <f t="shared" ca="1" si="20"/>
        <v>5995367.0933367014</v>
      </c>
    </row>
    <row r="439" spans="1:5" x14ac:dyDescent="0.35">
      <c r="A439">
        <v>426</v>
      </c>
      <c r="B439">
        <f t="shared" ca="1" si="18"/>
        <v>3.4156380657277469E-2</v>
      </c>
      <c r="C439">
        <f t="shared" ca="1" si="19"/>
        <v>0.25132208960371949</v>
      </c>
      <c r="D439" s="9">
        <f ca="1">Assumptions!B$3*(1+B439)^24*(1-C439/12)^24</f>
        <v>614513.03693652363</v>
      </c>
      <c r="E439" s="9">
        <f t="shared" ca="1" si="20"/>
        <v>7374156.4432382835</v>
      </c>
    </row>
    <row r="440" spans="1:5" x14ac:dyDescent="0.35">
      <c r="A440">
        <v>427</v>
      </c>
      <c r="B440">
        <f t="shared" ca="1" si="18"/>
        <v>2.2757805411955517E-2</v>
      </c>
      <c r="C440">
        <f t="shared" ca="1" si="19"/>
        <v>0.21450360949271829</v>
      </c>
      <c r="D440" s="9">
        <f ca="1">Assumptions!B$3*(1+B440)^24*(1-C440/12)^24</f>
        <v>507717.73765995866</v>
      </c>
      <c r="E440" s="9">
        <f t="shared" ca="1" si="20"/>
        <v>6092612.8519195039</v>
      </c>
    </row>
    <row r="441" spans="1:5" x14ac:dyDescent="0.35">
      <c r="A441">
        <v>428</v>
      </c>
      <c r="B441">
        <f t="shared" ca="1" si="18"/>
        <v>4.6558439170839475E-2</v>
      </c>
      <c r="C441">
        <f t="shared" ca="1" si="19"/>
        <v>0.27378664182481555</v>
      </c>
      <c r="D441" s="9">
        <f ca="1">Assumptions!B$3*(1+B441)^24*(1-C441/12)^24</f>
        <v>781333.77260468144</v>
      </c>
      <c r="E441" s="9">
        <f t="shared" ca="1" si="20"/>
        <v>9376005.2712561768</v>
      </c>
    </row>
    <row r="442" spans="1:5" x14ac:dyDescent="0.35">
      <c r="A442">
        <v>429</v>
      </c>
      <c r="B442">
        <f t="shared" ca="1" si="18"/>
        <v>2.9360631353656286E-2</v>
      </c>
      <c r="C442">
        <f t="shared" ca="1" si="19"/>
        <v>0.30305117477765936</v>
      </c>
      <c r="D442" s="9">
        <f ca="1">Assumptions!B$3*(1+B442)^24*(1-C442/12)^24</f>
        <v>494412.48983025161</v>
      </c>
      <c r="E442" s="9">
        <f t="shared" ca="1" si="20"/>
        <v>5932949.8779630195</v>
      </c>
    </row>
    <row r="443" spans="1:5" x14ac:dyDescent="0.35">
      <c r="A443">
        <v>430</v>
      </c>
      <c r="B443">
        <f t="shared" ca="1" si="18"/>
        <v>3.6341542101896662E-2</v>
      </c>
      <c r="C443">
        <f t="shared" ca="1" si="19"/>
        <v>0.31392830312475728</v>
      </c>
      <c r="D443" s="9">
        <f ca="1">Assumptions!B$3*(1+B443)^24*(1-C443/12)^24</f>
        <v>568644.52897443599</v>
      </c>
      <c r="E443" s="9">
        <f t="shared" ca="1" si="20"/>
        <v>6823734.3476932319</v>
      </c>
    </row>
    <row r="444" spans="1:5" x14ac:dyDescent="0.35">
      <c r="A444">
        <v>431</v>
      </c>
      <c r="B444">
        <f t="shared" ca="1" si="18"/>
        <v>7.3179202805310935E-3</v>
      </c>
      <c r="C444">
        <f t="shared" ca="1" si="19"/>
        <v>0.27150062639717187</v>
      </c>
      <c r="D444" s="9">
        <f ca="1">Assumptions!B$3*(1+B444)^24*(1-C444/12)^24</f>
        <v>313719.99021037488</v>
      </c>
      <c r="E444" s="9">
        <f t="shared" ca="1" si="20"/>
        <v>3764639.8825244987</v>
      </c>
    </row>
    <row r="445" spans="1:5" x14ac:dyDescent="0.35">
      <c r="A445">
        <v>432</v>
      </c>
      <c r="B445">
        <f t="shared" ca="1" si="18"/>
        <v>2.3880112472649088E-2</v>
      </c>
      <c r="C445">
        <f t="shared" ca="1" si="19"/>
        <v>0.3115258109880511</v>
      </c>
      <c r="D445" s="9">
        <f ca="1">Assumptions!B$3*(1+B445)^24*(1-C445/12)^24</f>
        <v>427456.85322094441</v>
      </c>
      <c r="E445" s="9">
        <f t="shared" ca="1" si="20"/>
        <v>5129482.2386513334</v>
      </c>
    </row>
    <row r="446" spans="1:5" x14ac:dyDescent="0.35">
      <c r="A446">
        <v>433</v>
      </c>
      <c r="B446">
        <f t="shared" ca="1" si="18"/>
        <v>3.9587412867037375E-2</v>
      </c>
      <c r="C446">
        <f t="shared" ca="1" si="19"/>
        <v>0.14669820962003288</v>
      </c>
      <c r="D446" s="9">
        <f ca="1">Assumptions!B$3*(1+B446)^24*(1-C446/12)^24</f>
        <v>862054.01367291086</v>
      </c>
      <c r="E446" s="9">
        <f t="shared" ca="1" si="20"/>
        <v>10344648.164074931</v>
      </c>
    </row>
    <row r="447" spans="1:5" x14ac:dyDescent="0.35">
      <c r="A447">
        <v>434</v>
      </c>
      <c r="B447">
        <f t="shared" ca="1" si="18"/>
        <v>2.5185074922186711E-2</v>
      </c>
      <c r="C447">
        <f t="shared" ca="1" si="19"/>
        <v>0.30956633037172215</v>
      </c>
      <c r="D447" s="9">
        <f ca="1">Assumptions!B$3*(1+B447)^24*(1-C447/12)^24</f>
        <v>442502.26852826757</v>
      </c>
      <c r="E447" s="9">
        <f t="shared" ca="1" si="20"/>
        <v>5310027.222339211</v>
      </c>
    </row>
    <row r="448" spans="1:5" x14ac:dyDescent="0.35">
      <c r="A448">
        <v>435</v>
      </c>
      <c r="B448">
        <f t="shared" ca="1" si="18"/>
        <v>1.780627554928399E-2</v>
      </c>
      <c r="C448">
        <f t="shared" ca="1" si="19"/>
        <v>0.22336986562711975</v>
      </c>
      <c r="D448" s="9">
        <f ca="1">Assumptions!B$3*(1+B448)^24*(1-C448/12)^24</f>
        <v>443806.65286882338</v>
      </c>
      <c r="E448" s="9">
        <f t="shared" ca="1" si="20"/>
        <v>5325679.8344258806</v>
      </c>
    </row>
    <row r="449" spans="1:5" x14ac:dyDescent="0.35">
      <c r="A449">
        <v>436</v>
      </c>
      <c r="B449">
        <f t="shared" ca="1" si="18"/>
        <v>1.3815832855022414E-2</v>
      </c>
      <c r="C449">
        <f t="shared" ca="1" si="19"/>
        <v>0.19007229418571495</v>
      </c>
      <c r="D449" s="9">
        <f ca="1">Assumptions!B$3*(1+B449)^24*(1-C449/12)^24</f>
        <v>432192.64926176838</v>
      </c>
      <c r="E449" s="9">
        <f t="shared" ca="1" si="20"/>
        <v>5186311.7911412204</v>
      </c>
    </row>
    <row r="450" spans="1:5" x14ac:dyDescent="0.35">
      <c r="A450">
        <v>437</v>
      </c>
      <c r="B450">
        <f t="shared" ca="1" si="18"/>
        <v>3.0563938990416571E-2</v>
      </c>
      <c r="C450">
        <f t="shared" ca="1" si="19"/>
        <v>0.2467060890057074</v>
      </c>
      <c r="D450" s="9">
        <f ca="1">Assumptions!B$3*(1+B450)^24*(1-C450/12)^24</f>
        <v>570630.38437659724</v>
      </c>
      <c r="E450" s="9">
        <f t="shared" ca="1" si="20"/>
        <v>6847564.6125191674</v>
      </c>
    </row>
    <row r="451" spans="1:5" x14ac:dyDescent="0.35">
      <c r="A451">
        <v>438</v>
      </c>
      <c r="B451">
        <f t="shared" ca="1" si="18"/>
        <v>3.202816829048271E-2</v>
      </c>
      <c r="C451">
        <f t="shared" ca="1" si="19"/>
        <v>0.2403304124429971</v>
      </c>
      <c r="D451" s="9">
        <f ca="1">Assumptions!B$3*(1+B451)^24*(1-C451/12)^24</f>
        <v>598144.43769258808</v>
      </c>
      <c r="E451" s="9">
        <f t="shared" ca="1" si="20"/>
        <v>7177733.2523110565</v>
      </c>
    </row>
    <row r="452" spans="1:5" x14ac:dyDescent="0.35">
      <c r="A452">
        <v>439</v>
      </c>
      <c r="B452">
        <f t="shared" ca="1" si="18"/>
        <v>3.908517034243858E-2</v>
      </c>
      <c r="C452">
        <f t="shared" ca="1" si="19"/>
        <v>0.273709533181894</v>
      </c>
      <c r="D452" s="9">
        <f ca="1">Assumptions!B$3*(1+B452)^24*(1-C452/12)^24</f>
        <v>657974.46321613726</v>
      </c>
      <c r="E452" s="9">
        <f t="shared" ca="1" si="20"/>
        <v>7895693.5585936476</v>
      </c>
    </row>
    <row r="453" spans="1:5" x14ac:dyDescent="0.35">
      <c r="A453">
        <v>440</v>
      </c>
      <c r="B453">
        <f t="shared" ca="1" si="18"/>
        <v>3.6375529895369574E-2</v>
      </c>
      <c r="C453">
        <f t="shared" ca="1" si="19"/>
        <v>0.2123910332349441</v>
      </c>
      <c r="D453" s="9">
        <f ca="1">Assumptions!B$3*(1+B453)^24*(1-C453/12)^24</f>
        <v>700414.08212560264</v>
      </c>
      <c r="E453" s="9">
        <f t="shared" ca="1" si="20"/>
        <v>8404968.9855072312</v>
      </c>
    </row>
    <row r="454" spans="1:5" x14ac:dyDescent="0.35">
      <c r="A454">
        <v>441</v>
      </c>
      <c r="B454">
        <f t="shared" ca="1" si="18"/>
        <v>1.3074230615990851E-2</v>
      </c>
      <c r="C454">
        <f t="shared" ca="1" si="19"/>
        <v>0.24859213833373239</v>
      </c>
      <c r="D454" s="9">
        <f ca="1">Assumptions!B$3*(1+B454)^24*(1-C454/12)^24</f>
        <v>376941.5485988711</v>
      </c>
      <c r="E454" s="9">
        <f t="shared" ca="1" si="20"/>
        <v>4523298.5831864532</v>
      </c>
    </row>
    <row r="455" spans="1:5" x14ac:dyDescent="0.35">
      <c r="A455">
        <v>442</v>
      </c>
      <c r="B455">
        <f t="shared" ca="1" si="18"/>
        <v>1.6962873126851422E-2</v>
      </c>
      <c r="C455">
        <f t="shared" ca="1" si="19"/>
        <v>0.21366481812931212</v>
      </c>
      <c r="D455" s="9">
        <f ca="1">Assumptions!B$3*(1+B455)^24*(1-C455/12)^24</f>
        <v>443750.88128056994</v>
      </c>
      <c r="E455" s="9">
        <f t="shared" ca="1" si="20"/>
        <v>5325010.5753668398</v>
      </c>
    </row>
    <row r="456" spans="1:5" x14ac:dyDescent="0.35">
      <c r="A456">
        <v>443</v>
      </c>
      <c r="B456">
        <f t="shared" ca="1" si="18"/>
        <v>2.6305000762440117E-2</v>
      </c>
      <c r="C456">
        <f t="shared" ca="1" si="19"/>
        <v>0.30573098559196205</v>
      </c>
      <c r="D456" s="9">
        <f ca="1">Assumptions!B$3*(1+B456)^24*(1-C456/12)^24</f>
        <v>457840.88974468526</v>
      </c>
      <c r="E456" s="9">
        <f t="shared" ca="1" si="20"/>
        <v>5494090.6769362232</v>
      </c>
    </row>
    <row r="457" spans="1:5" x14ac:dyDescent="0.35">
      <c r="A457">
        <v>444</v>
      </c>
      <c r="B457">
        <f t="shared" ca="1" si="18"/>
        <v>2.6923672401387599E-2</v>
      </c>
      <c r="C457">
        <f t="shared" ca="1" si="19"/>
        <v>0.25060383826269217</v>
      </c>
      <c r="D457" s="9">
        <f ca="1">Assumptions!B$3*(1+B457)^24*(1-C457/12)^24</f>
        <v>520014.0489369476</v>
      </c>
      <c r="E457" s="9">
        <f t="shared" ca="1" si="20"/>
        <v>6240168.5872433707</v>
      </c>
    </row>
    <row r="458" spans="1:5" x14ac:dyDescent="0.35">
      <c r="A458">
        <v>445</v>
      </c>
      <c r="B458">
        <f t="shared" ca="1" si="18"/>
        <v>1.9399033932655615E-2</v>
      </c>
      <c r="C458">
        <f t="shared" ca="1" si="19"/>
        <v>0.28937655879256052</v>
      </c>
      <c r="D458" s="9">
        <f ca="1">Assumptions!B$3*(1+B458)^24*(1-C458/12)^24</f>
        <v>402631.35189329222</v>
      </c>
      <c r="E458" s="9">
        <f t="shared" ca="1" si="20"/>
        <v>4831576.2227195064</v>
      </c>
    </row>
    <row r="459" spans="1:5" x14ac:dyDescent="0.35">
      <c r="A459">
        <v>446</v>
      </c>
      <c r="B459">
        <f t="shared" ca="1" si="18"/>
        <v>3.2574199009802116E-2</v>
      </c>
      <c r="C459">
        <f t="shared" ca="1" si="19"/>
        <v>0.25934952457921168</v>
      </c>
      <c r="D459" s="9">
        <f ca="1">Assumptions!B$3*(1+B459)^24*(1-C459/12)^24</f>
        <v>582704.33640669822</v>
      </c>
      <c r="E459" s="9">
        <f t="shared" ca="1" si="20"/>
        <v>6992452.0368803786</v>
      </c>
    </row>
    <row r="460" spans="1:5" x14ac:dyDescent="0.35">
      <c r="A460">
        <v>447</v>
      </c>
      <c r="B460">
        <f t="shared" ca="1" si="18"/>
        <v>1.768999110764697E-2</v>
      </c>
      <c r="C460">
        <f t="shared" ca="1" si="19"/>
        <v>0.29346851135574914</v>
      </c>
      <c r="D460" s="9">
        <f ca="1">Assumptions!B$3*(1+B460)^24*(1-C460/12)^24</f>
        <v>383509.17255655897</v>
      </c>
      <c r="E460" s="9">
        <f t="shared" ca="1" si="20"/>
        <v>4602110.0706787072</v>
      </c>
    </row>
    <row r="461" spans="1:5" x14ac:dyDescent="0.35">
      <c r="A461">
        <v>448</v>
      </c>
      <c r="B461">
        <f t="shared" ca="1" si="18"/>
        <v>4.5508967922815079E-2</v>
      </c>
      <c r="C461">
        <f t="shared" ca="1" si="19"/>
        <v>0.34603650843665557</v>
      </c>
      <c r="D461" s="9">
        <f ca="1">Assumptions!B$3*(1+B461)^24*(1-C461/12)^24</f>
        <v>657597.1882215807</v>
      </c>
      <c r="E461" s="9">
        <f t="shared" ca="1" si="20"/>
        <v>7891166.2586589679</v>
      </c>
    </row>
    <row r="462" spans="1:5" x14ac:dyDescent="0.35">
      <c r="A462">
        <v>449</v>
      </c>
      <c r="B462">
        <f t="shared" ca="1" si="18"/>
        <v>3.1921854003255715E-2</v>
      </c>
      <c r="C462">
        <f t="shared" ca="1" si="19"/>
        <v>0.26765350256350195</v>
      </c>
      <c r="D462" s="9">
        <f ca="1">Assumptions!B$3*(1+B462)^24*(1-C462/12)^24</f>
        <v>564269.46776661777</v>
      </c>
      <c r="E462" s="9">
        <f t="shared" ca="1" si="20"/>
        <v>6771233.6131994128</v>
      </c>
    </row>
    <row r="463" spans="1:5" x14ac:dyDescent="0.35">
      <c r="A463">
        <v>450</v>
      </c>
      <c r="B463">
        <f t="shared" ca="1" si="18"/>
        <v>1.175666754912795E-2</v>
      </c>
      <c r="C463">
        <f t="shared" ca="1" si="19"/>
        <v>0.24633723745870537</v>
      </c>
      <c r="D463" s="9">
        <f ca="1">Assumptions!B$3*(1+B463)^24*(1-C463/12)^24</f>
        <v>367036.44787971268</v>
      </c>
      <c r="E463" s="9">
        <f t="shared" ca="1" si="20"/>
        <v>4404437.3745565526</v>
      </c>
    </row>
    <row r="464" spans="1:5" x14ac:dyDescent="0.35">
      <c r="A464">
        <v>451</v>
      </c>
      <c r="B464">
        <f t="shared" ref="B464:B527" ca="1" si="21">_xlfn.NORM.INV(RAND(), $B$4, $B$5)</f>
        <v>5.3646968047523308E-2</v>
      </c>
      <c r="C464">
        <f t="shared" ref="C464:C527" ca="1" si="22">+_xlfn.NORM.INV(RAND(), $B$6, $B$7)</f>
        <v>0.19636217970235667</v>
      </c>
      <c r="D464" s="9">
        <f ca="1">Assumptions!B$3*(1+B464)^24*(1-C464/12)^24</f>
        <v>1075944.5794600293</v>
      </c>
      <c r="E464" s="9">
        <f t="shared" ref="E464:E527" ca="1" si="23">D464*12</f>
        <v>12911334.95352035</v>
      </c>
    </row>
    <row r="465" spans="1:5" x14ac:dyDescent="0.35">
      <c r="A465">
        <v>452</v>
      </c>
      <c r="B465">
        <f t="shared" ca="1" si="21"/>
        <v>2.8994977639596482E-2</v>
      </c>
      <c r="C465">
        <f t="shared" ca="1" si="22"/>
        <v>0.21002321315629072</v>
      </c>
      <c r="D465" s="9">
        <f ca="1">Assumptions!B$3*(1+B465)^24*(1-C465/12)^24</f>
        <v>592863.74729394238</v>
      </c>
      <c r="E465" s="9">
        <f t="shared" ca="1" si="23"/>
        <v>7114364.9675273085</v>
      </c>
    </row>
    <row r="466" spans="1:5" x14ac:dyDescent="0.35">
      <c r="A466">
        <v>453</v>
      </c>
      <c r="B466">
        <f t="shared" ca="1" si="21"/>
        <v>3.2874545302746624E-2</v>
      </c>
      <c r="C466">
        <f t="shared" ca="1" si="22"/>
        <v>0.24975836498639334</v>
      </c>
      <c r="D466" s="9">
        <f ca="1">Assumptions!B$3*(1+B466)^24*(1-C466/12)^24</f>
        <v>598399.06530585443</v>
      </c>
      <c r="E466" s="9">
        <f t="shared" ca="1" si="23"/>
        <v>7180788.7836702531</v>
      </c>
    </row>
    <row r="467" spans="1:5" x14ac:dyDescent="0.35">
      <c r="A467">
        <v>454</v>
      </c>
      <c r="B467">
        <f t="shared" ca="1" si="21"/>
        <v>2.6868480123330034E-2</v>
      </c>
      <c r="C467">
        <f t="shared" ca="1" si="22"/>
        <v>0.25181264849132401</v>
      </c>
      <c r="D467" s="9">
        <f ca="1">Assumptions!B$3*(1+B467)^24*(1-C467/12)^24</f>
        <v>518062.86423500982</v>
      </c>
      <c r="E467" s="9">
        <f t="shared" ca="1" si="23"/>
        <v>6216754.3708201181</v>
      </c>
    </row>
    <row r="468" spans="1:5" x14ac:dyDescent="0.35">
      <c r="A468">
        <v>455</v>
      </c>
      <c r="B468">
        <f t="shared" ca="1" si="21"/>
        <v>3.1246283773351455E-2</v>
      </c>
      <c r="C468">
        <f t="shared" ca="1" si="22"/>
        <v>0.27802011847909264</v>
      </c>
      <c r="D468" s="9">
        <f ca="1">Assumptions!B$3*(1+B468)^24*(1-C468/12)^24</f>
        <v>543809.52454144415</v>
      </c>
      <c r="E468" s="9">
        <f t="shared" ca="1" si="23"/>
        <v>6525714.2944973297</v>
      </c>
    </row>
    <row r="469" spans="1:5" x14ac:dyDescent="0.35">
      <c r="A469">
        <v>456</v>
      </c>
      <c r="B469">
        <f t="shared" ca="1" si="21"/>
        <v>3.1070332673121162E-2</v>
      </c>
      <c r="C469">
        <f t="shared" ca="1" si="22"/>
        <v>0.24095352740402901</v>
      </c>
      <c r="D469" s="9">
        <f ca="1">Assumptions!B$3*(1+B469)^24*(1-C469/12)^24</f>
        <v>584218.78515754535</v>
      </c>
      <c r="E469" s="9">
        <f t="shared" ca="1" si="23"/>
        <v>7010625.4218905438</v>
      </c>
    </row>
    <row r="470" spans="1:5" x14ac:dyDescent="0.35">
      <c r="A470">
        <v>457</v>
      </c>
      <c r="B470">
        <f t="shared" ca="1" si="21"/>
        <v>1.5846719840474824E-2</v>
      </c>
      <c r="C470">
        <f t="shared" ca="1" si="22"/>
        <v>0.22955918356705809</v>
      </c>
      <c r="D470" s="9">
        <f ca="1">Assumptions!B$3*(1+B470)^24*(1-C470/12)^24</f>
        <v>418434.82951837068</v>
      </c>
      <c r="E470" s="9">
        <f t="shared" ca="1" si="23"/>
        <v>5021217.9542204477</v>
      </c>
    </row>
    <row r="471" spans="1:5" x14ac:dyDescent="0.35">
      <c r="A471">
        <v>458</v>
      </c>
      <c r="B471">
        <f t="shared" ca="1" si="21"/>
        <v>2.2774128862080467E-2</v>
      </c>
      <c r="C471">
        <f t="shared" ca="1" si="22"/>
        <v>0.24063147286469122</v>
      </c>
      <c r="D471" s="9">
        <f ca="1">Assumptions!B$3*(1+B471)^24*(1-C471/12)^24</f>
        <v>481565.77235998568</v>
      </c>
      <c r="E471" s="9">
        <f t="shared" ca="1" si="23"/>
        <v>5778789.2683198284</v>
      </c>
    </row>
    <row r="472" spans="1:5" x14ac:dyDescent="0.35">
      <c r="A472">
        <v>459</v>
      </c>
      <c r="B472">
        <f t="shared" ca="1" si="21"/>
        <v>2.2326312310409289E-2</v>
      </c>
      <c r="C472">
        <f t="shared" ca="1" si="22"/>
        <v>0.33481060039408428</v>
      </c>
      <c r="D472" s="9">
        <f ca="1">Assumptions!B$3*(1+B472)^24*(1-C472/12)^24</f>
        <v>392896.32801180775</v>
      </c>
      <c r="E472" s="9">
        <f t="shared" ca="1" si="23"/>
        <v>4714755.936141693</v>
      </c>
    </row>
    <row r="473" spans="1:5" x14ac:dyDescent="0.35">
      <c r="A473">
        <v>460</v>
      </c>
      <c r="B473">
        <f t="shared" ca="1" si="21"/>
        <v>2.6999242209767699E-2</v>
      </c>
      <c r="C473">
        <f t="shared" ca="1" si="22"/>
        <v>0.26696593304132699</v>
      </c>
      <c r="D473" s="9">
        <f ca="1">Assumptions!B$3*(1+B473)^24*(1-C473/12)^24</f>
        <v>503798.52110841812</v>
      </c>
      <c r="E473" s="9">
        <f t="shared" ca="1" si="23"/>
        <v>6045582.253301017</v>
      </c>
    </row>
    <row r="474" spans="1:5" x14ac:dyDescent="0.35">
      <c r="A474">
        <v>461</v>
      </c>
      <c r="B474">
        <f t="shared" ca="1" si="21"/>
        <v>3.9300011286274597E-2</v>
      </c>
      <c r="C474">
        <f t="shared" ca="1" si="22"/>
        <v>0.33438081365726846</v>
      </c>
      <c r="D474" s="9">
        <f ca="1">Assumptions!B$3*(1+B474)^24*(1-C474/12)^24</f>
        <v>583842.12320178736</v>
      </c>
      <c r="E474" s="9">
        <f t="shared" ca="1" si="23"/>
        <v>7006105.4784214478</v>
      </c>
    </row>
    <row r="475" spans="1:5" x14ac:dyDescent="0.35">
      <c r="A475">
        <v>462</v>
      </c>
      <c r="B475">
        <f t="shared" ca="1" si="21"/>
        <v>2.0226083307069095E-2</v>
      </c>
      <c r="C475">
        <f t="shared" ca="1" si="22"/>
        <v>0.31165346295102725</v>
      </c>
      <c r="D475" s="9">
        <f ca="1">Assumptions!B$3*(1+B475)^24*(1-C475/12)^24</f>
        <v>392205.80226735229</v>
      </c>
      <c r="E475" s="9">
        <f t="shared" ca="1" si="23"/>
        <v>4706469.6272082273</v>
      </c>
    </row>
    <row r="476" spans="1:5" x14ac:dyDescent="0.35">
      <c r="A476">
        <v>463</v>
      </c>
      <c r="B476">
        <f t="shared" ca="1" si="21"/>
        <v>2.2639188359520366E-2</v>
      </c>
      <c r="C476">
        <f t="shared" ca="1" si="22"/>
        <v>0.19595563311508241</v>
      </c>
      <c r="D476" s="9">
        <f ca="1">Assumptions!B$3*(1+B476)^24*(1-C476/12)^24</f>
        <v>525780.31085636327</v>
      </c>
      <c r="E476" s="9">
        <f t="shared" ca="1" si="23"/>
        <v>6309363.7302763592</v>
      </c>
    </row>
    <row r="477" spans="1:5" x14ac:dyDescent="0.35">
      <c r="A477">
        <v>464</v>
      </c>
      <c r="B477">
        <f t="shared" ca="1" si="21"/>
        <v>1.277726167347535E-2</v>
      </c>
      <c r="C477">
        <f t="shared" ca="1" si="22"/>
        <v>0.31868721455802657</v>
      </c>
      <c r="D477" s="9">
        <f ca="1">Assumptions!B$3*(1+B477)^24*(1-C477/12)^24</f>
        <v>324235.27278933674</v>
      </c>
      <c r="E477" s="9">
        <f t="shared" ca="1" si="23"/>
        <v>3890823.2734720409</v>
      </c>
    </row>
    <row r="478" spans="1:5" x14ac:dyDescent="0.35">
      <c r="A478">
        <v>465</v>
      </c>
      <c r="B478">
        <f t="shared" ca="1" si="21"/>
        <v>3.366186484387209E-2</v>
      </c>
      <c r="C478">
        <f t="shared" ca="1" si="22"/>
        <v>0.22907076253190553</v>
      </c>
      <c r="D478" s="9">
        <f ca="1">Assumptions!B$3*(1+B478)^24*(1-C478/12)^24</f>
        <v>635722.82302523823</v>
      </c>
      <c r="E478" s="9">
        <f t="shared" ca="1" si="23"/>
        <v>7628673.8763028588</v>
      </c>
    </row>
    <row r="479" spans="1:5" x14ac:dyDescent="0.35">
      <c r="A479">
        <v>466</v>
      </c>
      <c r="B479">
        <f t="shared" ca="1" si="21"/>
        <v>2.7624318356228174E-2</v>
      </c>
      <c r="C479">
        <f t="shared" ca="1" si="22"/>
        <v>0.31447698999140922</v>
      </c>
      <c r="D479" s="9">
        <f ca="1">Assumptions!B$3*(1+B479)^24*(1-C479/12)^24</f>
        <v>463774.26580820145</v>
      </c>
      <c r="E479" s="9">
        <f t="shared" ca="1" si="23"/>
        <v>5565291.1896984177</v>
      </c>
    </row>
    <row r="480" spans="1:5" x14ac:dyDescent="0.35">
      <c r="A480">
        <v>467</v>
      </c>
      <c r="B480">
        <f t="shared" ca="1" si="21"/>
        <v>2.7321103881722198E-2</v>
      </c>
      <c r="C480">
        <f t="shared" ca="1" si="22"/>
        <v>0.14735006180507115</v>
      </c>
      <c r="D480" s="9">
        <f ca="1">Assumptions!B$3*(1+B480)^24*(1-C480/12)^24</f>
        <v>647509.28102439304</v>
      </c>
      <c r="E480" s="9">
        <f t="shared" ca="1" si="23"/>
        <v>7770111.3722927161</v>
      </c>
    </row>
    <row r="481" spans="1:5" x14ac:dyDescent="0.35">
      <c r="A481">
        <v>468</v>
      </c>
      <c r="B481">
        <f t="shared" ca="1" si="21"/>
        <v>3.4989530201103292E-2</v>
      </c>
      <c r="C481">
        <f t="shared" ca="1" si="22"/>
        <v>0.25707844876801761</v>
      </c>
      <c r="D481" s="9">
        <f ca="1">Assumptions!B$3*(1+B481)^24*(1-C481/12)^24</f>
        <v>619179.77279694809</v>
      </c>
      <c r="E481" s="9">
        <f t="shared" ca="1" si="23"/>
        <v>7430157.2735633776</v>
      </c>
    </row>
    <row r="482" spans="1:5" x14ac:dyDescent="0.35">
      <c r="A482">
        <v>469</v>
      </c>
      <c r="B482">
        <f t="shared" ca="1" si="21"/>
        <v>3.1001451558677923E-2</v>
      </c>
      <c r="C482">
        <f t="shared" ca="1" si="22"/>
        <v>0.28727747112949475</v>
      </c>
      <c r="D482" s="9">
        <f ca="1">Assumptions!B$3*(1+B482)^24*(1-C482/12)^24</f>
        <v>530563.21596267633</v>
      </c>
      <c r="E482" s="9">
        <f t="shared" ca="1" si="23"/>
        <v>6366758.591552116</v>
      </c>
    </row>
    <row r="483" spans="1:5" x14ac:dyDescent="0.35">
      <c r="A483">
        <v>470</v>
      </c>
      <c r="B483">
        <f t="shared" ca="1" si="21"/>
        <v>3.0698690243163167E-2</v>
      </c>
      <c r="C483">
        <f t="shared" ca="1" si="22"/>
        <v>0.26093722574037759</v>
      </c>
      <c r="D483" s="9">
        <f ca="1">Assumptions!B$3*(1+B483)^24*(1-C483/12)^24</f>
        <v>556018.89879374416</v>
      </c>
      <c r="E483" s="9">
        <f t="shared" ca="1" si="23"/>
        <v>6672226.7855249299</v>
      </c>
    </row>
    <row r="484" spans="1:5" x14ac:dyDescent="0.35">
      <c r="A484">
        <v>471</v>
      </c>
      <c r="B484">
        <f t="shared" ca="1" si="21"/>
        <v>2.3204419836656217E-2</v>
      </c>
      <c r="C484">
        <f t="shared" ca="1" si="22"/>
        <v>0.37146682095049094</v>
      </c>
      <c r="D484" s="9">
        <f ca="1">Assumptions!B$3*(1+B484)^24*(1-C484/12)^24</f>
        <v>371896.6144068084</v>
      </c>
      <c r="E484" s="9">
        <f t="shared" ca="1" si="23"/>
        <v>4462759.3728817012</v>
      </c>
    </row>
    <row r="485" spans="1:5" x14ac:dyDescent="0.35">
      <c r="A485">
        <v>472</v>
      </c>
      <c r="B485">
        <f t="shared" ca="1" si="21"/>
        <v>2.9394955004111049E-2</v>
      </c>
      <c r="C485">
        <f t="shared" ca="1" si="22"/>
        <v>0.2163215874302499</v>
      </c>
      <c r="D485" s="9">
        <f ca="1">Assumptions!B$3*(1+B485)^24*(1-C485/12)^24</f>
        <v>590793.87655283394</v>
      </c>
      <c r="E485" s="9">
        <f t="shared" ca="1" si="23"/>
        <v>7089526.5186340073</v>
      </c>
    </row>
    <row r="486" spans="1:5" x14ac:dyDescent="0.35">
      <c r="A486">
        <v>473</v>
      </c>
      <c r="B486">
        <f t="shared" ca="1" si="21"/>
        <v>3.7482454136288756E-2</v>
      </c>
      <c r="C486">
        <f t="shared" ca="1" si="22"/>
        <v>0.23025302971286191</v>
      </c>
      <c r="D486" s="9">
        <f ca="1">Assumptions!B$3*(1+B486)^24*(1-C486/12)^24</f>
        <v>692907.49921319832</v>
      </c>
      <c r="E486" s="9">
        <f t="shared" ca="1" si="23"/>
        <v>8314889.9905583803</v>
      </c>
    </row>
    <row r="487" spans="1:5" x14ac:dyDescent="0.35">
      <c r="A487">
        <v>474</v>
      </c>
      <c r="B487">
        <f t="shared" ca="1" si="21"/>
        <v>2.1301696934242435E-2</v>
      </c>
      <c r="C487">
        <f t="shared" ca="1" si="22"/>
        <v>0.28892393074191275</v>
      </c>
      <c r="D487" s="9">
        <f ca="1">Assumptions!B$3*(1+B487)^24*(1-C487/12)^24</f>
        <v>421450.43264069722</v>
      </c>
      <c r="E487" s="9">
        <f t="shared" ca="1" si="23"/>
        <v>5057405.1916883662</v>
      </c>
    </row>
    <row r="488" spans="1:5" x14ac:dyDescent="0.35">
      <c r="A488">
        <v>475</v>
      </c>
      <c r="B488">
        <f t="shared" ca="1" si="21"/>
        <v>3.2759536533985889E-2</v>
      </c>
      <c r="C488">
        <f t="shared" ca="1" si="22"/>
        <v>0.23494425222956114</v>
      </c>
      <c r="D488" s="9">
        <f ca="1">Assumptions!B$3*(1+B488)^24*(1-C488/12)^24</f>
        <v>615124.25691588141</v>
      </c>
      <c r="E488" s="9">
        <f t="shared" ca="1" si="23"/>
        <v>7381491.0829905774</v>
      </c>
    </row>
    <row r="489" spans="1:5" x14ac:dyDescent="0.35">
      <c r="A489">
        <v>476</v>
      </c>
      <c r="B489">
        <f t="shared" ca="1" si="21"/>
        <v>3.6326033577674492E-2</v>
      </c>
      <c r="C489">
        <f t="shared" ca="1" si="22"/>
        <v>0.29205596630569652</v>
      </c>
      <c r="D489" s="9">
        <f ca="1">Assumptions!B$3*(1+B489)^24*(1-C489/12)^24</f>
        <v>594531.78295932838</v>
      </c>
      <c r="E489" s="9">
        <f t="shared" ca="1" si="23"/>
        <v>7134381.3955119401</v>
      </c>
    </row>
    <row r="490" spans="1:5" x14ac:dyDescent="0.35">
      <c r="A490">
        <v>477</v>
      </c>
      <c r="B490">
        <f t="shared" ca="1" si="21"/>
        <v>2.1583374490290373E-2</v>
      </c>
      <c r="C490">
        <f t="shared" ca="1" si="22"/>
        <v>0.26574930221063348</v>
      </c>
      <c r="D490" s="9">
        <f ca="1">Assumptions!B$3*(1+B490)^24*(1-C490/12)^24</f>
        <v>444862.98272904113</v>
      </c>
      <c r="E490" s="9">
        <f t="shared" ca="1" si="23"/>
        <v>5338355.7927484941</v>
      </c>
    </row>
    <row r="491" spans="1:5" x14ac:dyDescent="0.35">
      <c r="A491">
        <v>478</v>
      </c>
      <c r="B491">
        <f t="shared" ca="1" si="21"/>
        <v>1.2282657513848508E-2</v>
      </c>
      <c r="C491">
        <f t="shared" ca="1" si="22"/>
        <v>0.23567788414963806</v>
      </c>
      <c r="D491" s="9">
        <f ca="1">Assumptions!B$3*(1+B491)^24*(1-C491/12)^24</f>
        <v>379817.40804233018</v>
      </c>
      <c r="E491" s="9">
        <f t="shared" ca="1" si="23"/>
        <v>4557808.8965079617</v>
      </c>
    </row>
    <row r="492" spans="1:5" x14ac:dyDescent="0.35">
      <c r="A492">
        <v>479</v>
      </c>
      <c r="B492">
        <f t="shared" ca="1" si="21"/>
        <v>2.6567610774385311E-2</v>
      </c>
      <c r="C492">
        <f t="shared" ca="1" si="22"/>
        <v>0.10369677539023289</v>
      </c>
      <c r="D492" s="9">
        <f ca="1">Assumptions!B$3*(1+B492)^24*(1-C492/12)^24</f>
        <v>694889.84898844454</v>
      </c>
      <c r="E492" s="9">
        <f t="shared" ca="1" si="23"/>
        <v>8338678.1878613345</v>
      </c>
    </row>
    <row r="493" spans="1:5" x14ac:dyDescent="0.35">
      <c r="A493">
        <v>480</v>
      </c>
      <c r="B493">
        <f t="shared" ca="1" si="21"/>
        <v>-1.3053285816729959E-3</v>
      </c>
      <c r="C493">
        <f t="shared" ca="1" si="22"/>
        <v>0.22485320922595708</v>
      </c>
      <c r="D493" s="9">
        <f ca="1">Assumptions!B$3*(1+B493)^24*(1-C493/12)^24</f>
        <v>280739.46838636423</v>
      </c>
      <c r="E493" s="9">
        <f t="shared" ca="1" si="23"/>
        <v>3368873.620636371</v>
      </c>
    </row>
    <row r="494" spans="1:5" x14ac:dyDescent="0.35">
      <c r="A494">
        <v>481</v>
      </c>
      <c r="B494">
        <f t="shared" ca="1" si="21"/>
        <v>1.7617819112155181E-2</v>
      </c>
      <c r="C494">
        <f t="shared" ca="1" si="22"/>
        <v>0.30893654454829983</v>
      </c>
      <c r="D494" s="9">
        <f ca="1">Assumptions!B$3*(1+B494)^24*(1-C494/12)^24</f>
        <v>370898.66829928569</v>
      </c>
      <c r="E494" s="9">
        <f t="shared" ca="1" si="23"/>
        <v>4450784.0195914283</v>
      </c>
    </row>
    <row r="495" spans="1:5" x14ac:dyDescent="0.35">
      <c r="A495">
        <v>482</v>
      </c>
      <c r="B495">
        <f t="shared" ca="1" si="21"/>
        <v>2.1322478835402402E-2</v>
      </c>
      <c r="C495">
        <f t="shared" ca="1" si="22"/>
        <v>0.30131673458413</v>
      </c>
      <c r="D495" s="9">
        <f ca="1">Assumptions!B$3*(1+B495)^24*(1-C495/12)^24</f>
        <v>411076.77194328542</v>
      </c>
      <c r="E495" s="9">
        <f t="shared" ca="1" si="23"/>
        <v>4932921.2633194253</v>
      </c>
    </row>
    <row r="496" spans="1:5" x14ac:dyDescent="0.35">
      <c r="A496">
        <v>483</v>
      </c>
      <c r="B496">
        <f t="shared" ca="1" si="21"/>
        <v>2.2861639183352277E-2</v>
      </c>
      <c r="C496">
        <f t="shared" ca="1" si="22"/>
        <v>0.26991846850159329</v>
      </c>
      <c r="D496" s="9">
        <f ca="1">Assumptions!B$3*(1+B496)^24*(1-C496/12)^24</f>
        <v>454523.25098808244</v>
      </c>
      <c r="E496" s="9">
        <f t="shared" ca="1" si="23"/>
        <v>5454279.011856989</v>
      </c>
    </row>
    <row r="497" spans="1:5" x14ac:dyDescent="0.35">
      <c r="A497">
        <v>484</v>
      </c>
      <c r="B497">
        <f t="shared" ca="1" si="21"/>
        <v>1.9949075247843503E-2</v>
      </c>
      <c r="C497">
        <f t="shared" ca="1" si="22"/>
        <v>0.26330043577118972</v>
      </c>
      <c r="D497" s="9">
        <f ca="1">Assumptions!B$3*(1+B497)^24*(1-C497/12)^24</f>
        <v>430242.59268497489</v>
      </c>
      <c r="E497" s="9">
        <f t="shared" ca="1" si="23"/>
        <v>5162911.1122196987</v>
      </c>
    </row>
    <row r="498" spans="1:5" x14ac:dyDescent="0.35">
      <c r="A498">
        <v>485</v>
      </c>
      <c r="B498">
        <f t="shared" ca="1" si="21"/>
        <v>1.3516139122228647E-2</v>
      </c>
      <c r="C498">
        <f t="shared" ca="1" si="22"/>
        <v>0.26616842472838276</v>
      </c>
      <c r="D498" s="9">
        <f ca="1">Assumptions!B$3*(1+B498)^24*(1-C498/12)^24</f>
        <v>367467.07030958124</v>
      </c>
      <c r="E498" s="9">
        <f t="shared" ca="1" si="23"/>
        <v>4409604.8437149748</v>
      </c>
    </row>
    <row r="499" spans="1:5" x14ac:dyDescent="0.35">
      <c r="A499">
        <v>486</v>
      </c>
      <c r="B499">
        <f t="shared" ca="1" si="21"/>
        <v>3.3721685606189558E-2</v>
      </c>
      <c r="C499">
        <f t="shared" ca="1" si="22"/>
        <v>0.24017388079896335</v>
      </c>
      <c r="D499" s="9">
        <f ca="1">Assumptions!B$3*(1+B499)^24*(1-C499/12)^24</f>
        <v>622349.90919160168</v>
      </c>
      <c r="E499" s="9">
        <f t="shared" ca="1" si="23"/>
        <v>7468198.9102992201</v>
      </c>
    </row>
    <row r="500" spans="1:5" x14ac:dyDescent="0.35">
      <c r="A500">
        <v>487</v>
      </c>
      <c r="B500">
        <f t="shared" ca="1" si="21"/>
        <v>4.1073973224384552E-2</v>
      </c>
      <c r="C500">
        <f t="shared" ca="1" si="22"/>
        <v>0.32073919794458022</v>
      </c>
      <c r="D500" s="9">
        <f ca="1">Assumptions!B$3*(1+B500)^24*(1-C500/12)^24</f>
        <v>625536.52312221029</v>
      </c>
      <c r="E500" s="9">
        <f t="shared" ca="1" si="23"/>
        <v>7506438.2774665235</v>
      </c>
    </row>
    <row r="501" spans="1:5" x14ac:dyDescent="0.35">
      <c r="A501">
        <v>488</v>
      </c>
      <c r="B501">
        <f t="shared" ca="1" si="21"/>
        <v>3.7527258686565992E-2</v>
      </c>
      <c r="C501">
        <f t="shared" ca="1" si="22"/>
        <v>0.21264455751558589</v>
      </c>
      <c r="D501" s="9">
        <f ca="1">Assumptions!B$3*(1+B501)^24*(1-C501/12)^24</f>
        <v>718964.52336712554</v>
      </c>
      <c r="E501" s="9">
        <f t="shared" ca="1" si="23"/>
        <v>8627574.2804055065</v>
      </c>
    </row>
    <row r="502" spans="1:5" x14ac:dyDescent="0.35">
      <c r="A502">
        <v>489</v>
      </c>
      <c r="B502">
        <f t="shared" ca="1" si="21"/>
        <v>8.568332199658045E-3</v>
      </c>
      <c r="C502">
        <f t="shared" ca="1" si="22"/>
        <v>0.31962343545780109</v>
      </c>
      <c r="D502" s="9">
        <f ca="1">Assumptions!B$3*(1+B502)^24*(1-C502/12)^24</f>
        <v>292831.70808758476</v>
      </c>
      <c r="E502" s="9">
        <f t="shared" ca="1" si="23"/>
        <v>3513980.4970510174</v>
      </c>
    </row>
    <row r="503" spans="1:5" x14ac:dyDescent="0.35">
      <c r="A503">
        <v>490</v>
      </c>
      <c r="B503">
        <f t="shared" ca="1" si="21"/>
        <v>3.1972569741658539E-2</v>
      </c>
      <c r="C503">
        <f t="shared" ca="1" si="22"/>
        <v>0.30073941554266881</v>
      </c>
      <c r="D503" s="9">
        <f ca="1">Assumptions!B$3*(1+B503)^24*(1-C503/12)^24</f>
        <v>527914.52026423078</v>
      </c>
      <c r="E503" s="9">
        <f t="shared" ca="1" si="23"/>
        <v>6334974.2431707699</v>
      </c>
    </row>
    <row r="504" spans="1:5" x14ac:dyDescent="0.35">
      <c r="A504">
        <v>491</v>
      </c>
      <c r="B504">
        <f t="shared" ca="1" si="21"/>
        <v>4.3813833788401577E-2</v>
      </c>
      <c r="C504">
        <f t="shared" ca="1" si="22"/>
        <v>0.29202838445625179</v>
      </c>
      <c r="D504" s="9">
        <f ca="1">Assumptions!B$3*(1+B504)^24*(1-C504/12)^24</f>
        <v>706706.3500649432</v>
      </c>
      <c r="E504" s="9">
        <f t="shared" ca="1" si="23"/>
        <v>8480476.2007793188</v>
      </c>
    </row>
    <row r="505" spans="1:5" x14ac:dyDescent="0.35">
      <c r="A505">
        <v>492</v>
      </c>
      <c r="B505">
        <f t="shared" ca="1" si="21"/>
        <v>5.096225533600994E-2</v>
      </c>
      <c r="C505">
        <f t="shared" ca="1" si="22"/>
        <v>0.27440800296054507</v>
      </c>
      <c r="D505" s="9">
        <f ca="1">Assumptions!B$3*(1+B505)^24*(1-C505/12)^24</f>
        <v>863080.90601052088</v>
      </c>
      <c r="E505" s="9">
        <f t="shared" ca="1" si="23"/>
        <v>10356970.872126251</v>
      </c>
    </row>
    <row r="506" spans="1:5" x14ac:dyDescent="0.35">
      <c r="A506">
        <v>493</v>
      </c>
      <c r="B506">
        <f t="shared" ca="1" si="21"/>
        <v>1.8340963267690816E-2</v>
      </c>
      <c r="C506">
        <f t="shared" ca="1" si="22"/>
        <v>0.28638279298750058</v>
      </c>
      <c r="D506" s="9">
        <f ca="1">Assumptions!B$3*(1+B506)^24*(1-C506/12)^24</f>
        <v>395137.06033178471</v>
      </c>
      <c r="E506" s="9">
        <f t="shared" ca="1" si="23"/>
        <v>4741644.7239814168</v>
      </c>
    </row>
    <row r="507" spans="1:5" x14ac:dyDescent="0.35">
      <c r="A507">
        <v>494</v>
      </c>
      <c r="B507">
        <f t="shared" ca="1" si="21"/>
        <v>2.335424804548664E-2</v>
      </c>
      <c r="C507">
        <f t="shared" ca="1" si="22"/>
        <v>0.38315734236665494</v>
      </c>
      <c r="D507" s="9">
        <f ca="1">Assumptions!B$3*(1+B507)^24*(1-C507/12)^24</f>
        <v>364304.44153440342</v>
      </c>
      <c r="E507" s="9">
        <f t="shared" ca="1" si="23"/>
        <v>4371653.2984128408</v>
      </c>
    </row>
    <row r="508" spans="1:5" x14ac:dyDescent="0.35">
      <c r="A508">
        <v>495</v>
      </c>
      <c r="B508">
        <f t="shared" ca="1" si="21"/>
        <v>2.5319386089242748E-2</v>
      </c>
      <c r="C508">
        <f t="shared" ca="1" si="22"/>
        <v>0.27738883841774414</v>
      </c>
      <c r="D508" s="9">
        <f ca="1">Assumptions!B$3*(1+B508)^24*(1-C508/12)^24</f>
        <v>474166.27056998253</v>
      </c>
      <c r="E508" s="9">
        <f t="shared" ca="1" si="23"/>
        <v>5689995.2468397906</v>
      </c>
    </row>
    <row r="509" spans="1:5" x14ac:dyDescent="0.35">
      <c r="A509">
        <v>496</v>
      </c>
      <c r="B509">
        <f t="shared" ca="1" si="21"/>
        <v>2.2675638392035426E-2</v>
      </c>
      <c r="C509">
        <f t="shared" ca="1" si="22"/>
        <v>0.31870789887229461</v>
      </c>
      <c r="D509" s="9">
        <f ca="1">Assumptions!B$3*(1+B509)^24*(1-C509/12)^24</f>
        <v>409465.24212429102</v>
      </c>
      <c r="E509" s="9">
        <f t="shared" ca="1" si="23"/>
        <v>4913582.9054914918</v>
      </c>
    </row>
    <row r="510" spans="1:5" x14ac:dyDescent="0.35">
      <c r="A510">
        <v>497</v>
      </c>
      <c r="B510">
        <f t="shared" ca="1" si="21"/>
        <v>3.3450643852950726E-2</v>
      </c>
      <c r="C510">
        <f t="shared" ca="1" si="22"/>
        <v>0.23633135004014896</v>
      </c>
      <c r="D510" s="9">
        <f ca="1">Assumptions!B$3*(1+B510)^24*(1-C510/12)^24</f>
        <v>623313.49884459551</v>
      </c>
      <c r="E510" s="9">
        <f t="shared" ca="1" si="23"/>
        <v>7479761.9861351456</v>
      </c>
    </row>
    <row r="511" spans="1:5" x14ac:dyDescent="0.35">
      <c r="A511">
        <v>498</v>
      </c>
      <c r="B511">
        <f t="shared" ca="1" si="21"/>
        <v>3.7224111028660939E-2</v>
      </c>
      <c r="C511">
        <f t="shared" ca="1" si="22"/>
        <v>0.30954751307360023</v>
      </c>
      <c r="D511" s="9">
        <f ca="1">Assumptions!B$3*(1+B511)^24*(1-C511/12)^24</f>
        <v>585625.75717349979</v>
      </c>
      <c r="E511" s="9">
        <f t="shared" ca="1" si="23"/>
        <v>7027509.0860819975</v>
      </c>
    </row>
    <row r="512" spans="1:5" x14ac:dyDescent="0.35">
      <c r="A512">
        <v>499</v>
      </c>
      <c r="B512">
        <f t="shared" ca="1" si="21"/>
        <v>3.7528342231602535E-2</v>
      </c>
      <c r="C512">
        <f t="shared" ca="1" si="22"/>
        <v>0.2497943712533143</v>
      </c>
      <c r="D512" s="9">
        <f ca="1">Assumptions!B$3*(1+B512)^24*(1-C512/12)^24</f>
        <v>666524.99135928159</v>
      </c>
      <c r="E512" s="9">
        <f t="shared" ca="1" si="23"/>
        <v>7998299.896311379</v>
      </c>
    </row>
    <row r="513" spans="1:5" x14ac:dyDescent="0.35">
      <c r="A513">
        <v>500</v>
      </c>
      <c r="B513">
        <f t="shared" ca="1" si="21"/>
        <v>2.5681679356257332E-2</v>
      </c>
      <c r="C513">
        <f t="shared" ca="1" si="22"/>
        <v>0.25951840378204655</v>
      </c>
      <c r="D513" s="9">
        <f ca="1">Assumptions!B$3*(1+B513)^24*(1-C513/12)^24</f>
        <v>496009.7593139353</v>
      </c>
      <c r="E513" s="9">
        <f t="shared" ca="1" si="23"/>
        <v>5952117.1117672231</v>
      </c>
    </row>
    <row r="514" spans="1:5" x14ac:dyDescent="0.35">
      <c r="A514">
        <v>501</v>
      </c>
      <c r="B514">
        <f t="shared" ca="1" si="21"/>
        <v>3.1147933678825485E-2</v>
      </c>
      <c r="C514">
        <f t="shared" ca="1" si="22"/>
        <v>0.38843088548699656</v>
      </c>
      <c r="D514" s="9">
        <f ca="1">Assumptions!B$3*(1+B514)^24*(1-C514/12)^24</f>
        <v>432325.91552788269</v>
      </c>
      <c r="E514" s="9">
        <f t="shared" ca="1" si="23"/>
        <v>5187910.9863345921</v>
      </c>
    </row>
    <row r="515" spans="1:5" x14ac:dyDescent="0.35">
      <c r="A515">
        <v>502</v>
      </c>
      <c r="B515">
        <f t="shared" ca="1" si="21"/>
        <v>3.5605771745512896E-2</v>
      </c>
      <c r="C515">
        <f t="shared" ca="1" si="22"/>
        <v>0.32499631824420716</v>
      </c>
      <c r="D515" s="9">
        <f ca="1">Assumptions!B$3*(1+B515)^24*(1-C515/12)^24</f>
        <v>546464.17428021925</v>
      </c>
      <c r="E515" s="9">
        <f t="shared" ca="1" si="23"/>
        <v>6557570.0913626309</v>
      </c>
    </row>
    <row r="516" spans="1:5" x14ac:dyDescent="0.35">
      <c r="A516">
        <v>503</v>
      </c>
      <c r="B516">
        <f t="shared" ca="1" si="21"/>
        <v>5.2453344554376127E-2</v>
      </c>
      <c r="C516">
        <f t="shared" ca="1" si="22"/>
        <v>0.3157780886154149</v>
      </c>
      <c r="D516" s="9">
        <f ca="1">Assumptions!B$3*(1+B516)^24*(1-C516/12)^24</f>
        <v>820331.81529419962</v>
      </c>
      <c r="E516" s="9">
        <f t="shared" ca="1" si="23"/>
        <v>9843981.7835303955</v>
      </c>
    </row>
    <row r="517" spans="1:5" x14ac:dyDescent="0.35">
      <c r="A517">
        <v>504</v>
      </c>
      <c r="B517">
        <f t="shared" ca="1" si="21"/>
        <v>4.0962093997080888E-2</v>
      </c>
      <c r="C517">
        <f t="shared" ca="1" si="22"/>
        <v>0.20980243496598056</v>
      </c>
      <c r="D517" s="9">
        <f ca="1">Assumptions!B$3*(1+B517)^24*(1-C517/12)^24</f>
        <v>782834.43114648829</v>
      </c>
      <c r="E517" s="9">
        <f t="shared" ca="1" si="23"/>
        <v>9394013.1737578586</v>
      </c>
    </row>
    <row r="518" spans="1:5" x14ac:dyDescent="0.35">
      <c r="A518">
        <v>505</v>
      </c>
      <c r="B518">
        <f t="shared" ca="1" si="21"/>
        <v>1.6967386351256934E-2</v>
      </c>
      <c r="C518">
        <f t="shared" ca="1" si="22"/>
        <v>0.29153080904562678</v>
      </c>
      <c r="D518" s="9">
        <f ca="1">Assumptions!B$3*(1+B518)^24*(1-C518/12)^24</f>
        <v>378527.473439564</v>
      </c>
      <c r="E518" s="9">
        <f t="shared" ca="1" si="23"/>
        <v>4542329.681274768</v>
      </c>
    </row>
    <row r="519" spans="1:5" x14ac:dyDescent="0.35">
      <c r="A519">
        <v>506</v>
      </c>
      <c r="B519">
        <f t="shared" ca="1" si="21"/>
        <v>3.6510991408708462E-2</v>
      </c>
      <c r="C519">
        <f t="shared" ca="1" si="22"/>
        <v>0.28085229029793446</v>
      </c>
      <c r="D519" s="9">
        <f ca="1">Assumptions!B$3*(1+B519)^24*(1-C519/12)^24</f>
        <v>610948.40246014448</v>
      </c>
      <c r="E519" s="9">
        <f t="shared" ca="1" si="23"/>
        <v>7331380.8295217343</v>
      </c>
    </row>
    <row r="520" spans="1:5" x14ac:dyDescent="0.35">
      <c r="A520">
        <v>507</v>
      </c>
      <c r="B520">
        <f t="shared" ca="1" si="21"/>
        <v>3.3643401114709849E-2</v>
      </c>
      <c r="C520">
        <f t="shared" ca="1" si="22"/>
        <v>0.28161556950206507</v>
      </c>
      <c r="D520" s="9">
        <f ca="1">Assumptions!B$3*(1+B520)^24*(1-C520/12)^24</f>
        <v>570754.62201592419</v>
      </c>
      <c r="E520" s="9">
        <f t="shared" ca="1" si="23"/>
        <v>6849055.4641910903</v>
      </c>
    </row>
    <row r="521" spans="1:5" x14ac:dyDescent="0.35">
      <c r="A521">
        <v>508</v>
      </c>
      <c r="B521">
        <f t="shared" ca="1" si="21"/>
        <v>2.8675299689615127E-2</v>
      </c>
      <c r="C521">
        <f t="shared" ca="1" si="22"/>
        <v>0.26967140873575818</v>
      </c>
      <c r="D521" s="9">
        <f ca="1">Assumptions!B$3*(1+B521)^24*(1-C521/12)^24</f>
        <v>521014.39554232522</v>
      </c>
      <c r="E521" s="9">
        <f t="shared" ca="1" si="23"/>
        <v>6252172.7465079026</v>
      </c>
    </row>
    <row r="522" spans="1:5" x14ac:dyDescent="0.35">
      <c r="A522">
        <v>509</v>
      </c>
      <c r="B522">
        <f t="shared" ca="1" si="21"/>
        <v>4.5877093331123719E-2</v>
      </c>
      <c r="C522">
        <f t="shared" ca="1" si="22"/>
        <v>0.30685042208093133</v>
      </c>
      <c r="D522" s="9">
        <f ca="1">Assumptions!B$3*(1+B522)^24*(1-C522/12)^24</f>
        <v>718815.98644601565</v>
      </c>
      <c r="E522" s="9">
        <f t="shared" ca="1" si="23"/>
        <v>8625791.8373521883</v>
      </c>
    </row>
    <row r="523" spans="1:5" x14ac:dyDescent="0.35">
      <c r="A523">
        <v>510</v>
      </c>
      <c r="B523">
        <f t="shared" ca="1" si="21"/>
        <v>8.9544883607019544E-3</v>
      </c>
      <c r="C523">
        <f t="shared" ca="1" si="22"/>
        <v>0.28160956236041307</v>
      </c>
      <c r="D523" s="9">
        <f ca="1">Assumptions!B$3*(1+B523)^24*(1-C523/12)^24</f>
        <v>319503.00424828177</v>
      </c>
      <c r="E523" s="9">
        <f t="shared" ca="1" si="23"/>
        <v>3834036.0509793814</v>
      </c>
    </row>
    <row r="524" spans="1:5" x14ac:dyDescent="0.35">
      <c r="A524">
        <v>511</v>
      </c>
      <c r="B524">
        <f t="shared" ca="1" si="21"/>
        <v>4.6534325910913499E-2</v>
      </c>
      <c r="C524">
        <f t="shared" ca="1" si="22"/>
        <v>0.27491284720291798</v>
      </c>
      <c r="D524" s="9">
        <f ca="1">Assumptions!B$3*(1+B524)^24*(1-C524/12)^24</f>
        <v>779103.83826088428</v>
      </c>
      <c r="E524" s="9">
        <f t="shared" ca="1" si="23"/>
        <v>9349246.0591306109</v>
      </c>
    </row>
    <row r="525" spans="1:5" x14ac:dyDescent="0.35">
      <c r="A525">
        <v>512</v>
      </c>
      <c r="B525">
        <f t="shared" ca="1" si="21"/>
        <v>5.2337043366885244E-2</v>
      </c>
      <c r="C525">
        <f t="shared" ca="1" si="22"/>
        <v>0.27238273376476702</v>
      </c>
      <c r="D525" s="9">
        <f ca="1">Assumptions!B$3*(1+B525)^24*(1-C525/12)^24</f>
        <v>894287.97965907701</v>
      </c>
      <c r="E525" s="9">
        <f t="shared" ca="1" si="23"/>
        <v>10731455.755908925</v>
      </c>
    </row>
    <row r="526" spans="1:5" x14ac:dyDescent="0.35">
      <c r="A526">
        <v>513</v>
      </c>
      <c r="B526">
        <f t="shared" ca="1" si="21"/>
        <v>2.440352557032471E-2</v>
      </c>
      <c r="C526">
        <f t="shared" ca="1" si="22"/>
        <v>0.29626121103790082</v>
      </c>
      <c r="D526" s="9">
        <f ca="1">Assumptions!B$3*(1+B526)^24*(1-C526/12)^24</f>
        <v>446500.97274542548</v>
      </c>
      <c r="E526" s="9">
        <f t="shared" ca="1" si="23"/>
        <v>5358011.6729451055</v>
      </c>
    </row>
    <row r="527" spans="1:5" x14ac:dyDescent="0.35">
      <c r="A527">
        <v>514</v>
      </c>
      <c r="B527">
        <f t="shared" ca="1" si="21"/>
        <v>1.2136603923625016E-2</v>
      </c>
      <c r="C527">
        <f t="shared" ca="1" si="22"/>
        <v>0.29289463661623028</v>
      </c>
      <c r="D527" s="9">
        <f ca="1">Assumptions!B$3*(1+B527)^24*(1-C527/12)^24</f>
        <v>336708.26343960856</v>
      </c>
      <c r="E527" s="9">
        <f t="shared" ca="1" si="23"/>
        <v>4040499.161275303</v>
      </c>
    </row>
    <row r="528" spans="1:5" x14ac:dyDescent="0.35">
      <c r="A528">
        <v>515</v>
      </c>
      <c r="B528">
        <f t="shared" ref="B528:B591" ca="1" si="24">_xlfn.NORM.INV(RAND(), $B$4, $B$5)</f>
        <v>1.5885057680122279E-2</v>
      </c>
      <c r="C528">
        <f t="shared" ref="C528:C591" ca="1" si="25">+_xlfn.NORM.INV(RAND(), $B$6, $B$7)</f>
        <v>0.16627091073738881</v>
      </c>
      <c r="D528" s="9">
        <f ca="1">Assumptions!B$3*(1+B528)^24*(1-C528/12)^24</f>
        <v>476337.3734480014</v>
      </c>
      <c r="E528" s="9">
        <f t="shared" ref="E528:E591" ca="1" si="26">D528*12</f>
        <v>5716048.4813760165</v>
      </c>
    </row>
    <row r="529" spans="1:5" x14ac:dyDescent="0.35">
      <c r="A529">
        <v>516</v>
      </c>
      <c r="B529">
        <f t="shared" ca="1" si="24"/>
        <v>3.9498822100223277E-2</v>
      </c>
      <c r="C529">
        <f t="shared" ca="1" si="25"/>
        <v>0.25138458062758473</v>
      </c>
      <c r="D529" s="9">
        <f ca="1">Assumptions!B$3*(1+B529)^24*(1-C529/12)^24</f>
        <v>695316.4709487817</v>
      </c>
      <c r="E529" s="9">
        <f t="shared" ca="1" si="26"/>
        <v>8343797.65138538</v>
      </c>
    </row>
    <row r="530" spans="1:5" x14ac:dyDescent="0.35">
      <c r="A530">
        <v>517</v>
      </c>
      <c r="B530">
        <f t="shared" ca="1" si="24"/>
        <v>2.1818186284489116E-2</v>
      </c>
      <c r="C530">
        <f t="shared" ca="1" si="25"/>
        <v>0.35287419816968529</v>
      </c>
      <c r="D530" s="9">
        <f ca="1">Assumptions!B$3*(1+B530)^24*(1-C530/12)^24</f>
        <v>374061.86695538397</v>
      </c>
      <c r="E530" s="9">
        <f t="shared" ca="1" si="26"/>
        <v>4488742.4034646079</v>
      </c>
    </row>
    <row r="531" spans="1:5" x14ac:dyDescent="0.35">
      <c r="A531">
        <v>518</v>
      </c>
      <c r="B531">
        <f t="shared" ca="1" si="24"/>
        <v>1.5610884759887991E-2</v>
      </c>
      <c r="C531">
        <f t="shared" ca="1" si="25"/>
        <v>0.23134086492190156</v>
      </c>
      <c r="D531" s="9">
        <f ca="1">Assumptions!B$3*(1+B531)^24*(1-C531/12)^24</f>
        <v>414600.59077781677</v>
      </c>
      <c r="E531" s="9">
        <f t="shared" ca="1" si="26"/>
        <v>4975207.0893338015</v>
      </c>
    </row>
    <row r="532" spans="1:5" x14ac:dyDescent="0.35">
      <c r="A532">
        <v>519</v>
      </c>
      <c r="B532">
        <f t="shared" ca="1" si="24"/>
        <v>2.2013736618088663E-2</v>
      </c>
      <c r="C532">
        <f t="shared" ca="1" si="25"/>
        <v>0.28942279163733081</v>
      </c>
      <c r="D532" s="9">
        <f ca="1">Assumptions!B$3*(1+B532)^24*(1-C532/12)^24</f>
        <v>428121.27395256644</v>
      </c>
      <c r="E532" s="9">
        <f t="shared" ca="1" si="26"/>
        <v>5137455.2874307968</v>
      </c>
    </row>
    <row r="533" spans="1:5" x14ac:dyDescent="0.35">
      <c r="A533">
        <v>520</v>
      </c>
      <c r="B533">
        <f t="shared" ca="1" si="24"/>
        <v>2.1467745619485924E-2</v>
      </c>
      <c r="C533">
        <f t="shared" ca="1" si="25"/>
        <v>0.29742820180882484</v>
      </c>
      <c r="D533" s="9">
        <f ca="1">Assumptions!B$3*(1+B533)^24*(1-C533/12)^24</f>
        <v>415785.46295510716</v>
      </c>
      <c r="E533" s="9">
        <f t="shared" ca="1" si="26"/>
        <v>4989425.5554612856</v>
      </c>
    </row>
    <row r="534" spans="1:5" x14ac:dyDescent="0.35">
      <c r="A534">
        <v>521</v>
      </c>
      <c r="B534">
        <f t="shared" ca="1" si="24"/>
        <v>3.1959194716098836E-2</v>
      </c>
      <c r="C534">
        <f t="shared" ca="1" si="25"/>
        <v>0.31092674466837333</v>
      </c>
      <c r="D534" s="9">
        <f ca="1">Assumptions!B$3*(1+B534)^24*(1-C534/12)^24</f>
        <v>516830.93506258231</v>
      </c>
      <c r="E534" s="9">
        <f t="shared" ca="1" si="26"/>
        <v>6201971.2207509875</v>
      </c>
    </row>
    <row r="535" spans="1:5" x14ac:dyDescent="0.35">
      <c r="A535">
        <v>522</v>
      </c>
      <c r="B535">
        <f t="shared" ca="1" si="24"/>
        <v>3.8851508530418119E-2</v>
      </c>
      <c r="C535">
        <f t="shared" ca="1" si="25"/>
        <v>0.29935225873073257</v>
      </c>
      <c r="D535" s="9">
        <f ca="1">Assumptions!B$3*(1+B535)^24*(1-C535/12)^24</f>
        <v>620936.3443334261</v>
      </c>
      <c r="E535" s="9">
        <f t="shared" ca="1" si="26"/>
        <v>7451236.1320011131</v>
      </c>
    </row>
    <row r="536" spans="1:5" x14ac:dyDescent="0.35">
      <c r="A536">
        <v>523</v>
      </c>
      <c r="B536">
        <f t="shared" ca="1" si="24"/>
        <v>3.0086868592379589E-2</v>
      </c>
      <c r="C536">
        <f t="shared" ca="1" si="25"/>
        <v>0.29885041582695571</v>
      </c>
      <c r="D536" s="9">
        <f ca="1">Assumptions!B$3*(1+B536)^24*(1-C536/12)^24</f>
        <v>507204.55486070528</v>
      </c>
      <c r="E536" s="9">
        <f t="shared" ca="1" si="26"/>
        <v>6086454.6583284633</v>
      </c>
    </row>
    <row r="537" spans="1:5" x14ac:dyDescent="0.35">
      <c r="A537">
        <v>524</v>
      </c>
      <c r="B537">
        <f t="shared" ca="1" si="24"/>
        <v>2.738988438743075E-2</v>
      </c>
      <c r="C537">
        <f t="shared" ca="1" si="25"/>
        <v>0.17872198075852269</v>
      </c>
      <c r="D537" s="9">
        <f ca="1">Assumptions!B$3*(1+B537)^24*(1-C537/12)^24</f>
        <v>608582.10274263984</v>
      </c>
      <c r="E537" s="9">
        <f t="shared" ca="1" si="26"/>
        <v>7302985.232911678</v>
      </c>
    </row>
    <row r="538" spans="1:5" x14ac:dyDescent="0.35">
      <c r="A538">
        <v>525</v>
      </c>
      <c r="B538">
        <f t="shared" ca="1" si="24"/>
        <v>2.337325983950389E-2</v>
      </c>
      <c r="C538">
        <f t="shared" ca="1" si="25"/>
        <v>0.17910247194513468</v>
      </c>
      <c r="D538" s="9">
        <f ca="1">Assumptions!B$3*(1+B538)^24*(1-C538/12)^24</f>
        <v>553546.86184091202</v>
      </c>
      <c r="E538" s="9">
        <f t="shared" ca="1" si="26"/>
        <v>6642562.3420909438</v>
      </c>
    </row>
    <row r="539" spans="1:5" x14ac:dyDescent="0.35">
      <c r="A539">
        <v>526</v>
      </c>
      <c r="B539">
        <f t="shared" ca="1" si="24"/>
        <v>3.3269902139526797E-2</v>
      </c>
      <c r="C539">
        <f t="shared" ca="1" si="25"/>
        <v>0.26897909166982564</v>
      </c>
      <c r="D539" s="9">
        <f ca="1">Assumptions!B$3*(1+B539)^24*(1-C539/12)^24</f>
        <v>580652.21109291865</v>
      </c>
      <c r="E539" s="9">
        <f t="shared" ca="1" si="26"/>
        <v>6967826.5331150237</v>
      </c>
    </row>
    <row r="540" spans="1:5" x14ac:dyDescent="0.35">
      <c r="A540">
        <v>527</v>
      </c>
      <c r="B540">
        <f t="shared" ca="1" si="24"/>
        <v>3.3447390036049976E-2</v>
      </c>
      <c r="C540">
        <f t="shared" ca="1" si="25"/>
        <v>0.27927752193645894</v>
      </c>
      <c r="D540" s="9">
        <f ca="1">Assumptions!B$3*(1+B540)^24*(1-C540/12)^24</f>
        <v>570889.57112434192</v>
      </c>
      <c r="E540" s="9">
        <f t="shared" ca="1" si="26"/>
        <v>6850674.8534921035</v>
      </c>
    </row>
    <row r="541" spans="1:5" x14ac:dyDescent="0.35">
      <c r="A541">
        <v>528</v>
      </c>
      <c r="B541">
        <f t="shared" ca="1" si="24"/>
        <v>3.7607888727069813E-2</v>
      </c>
      <c r="C541">
        <f t="shared" ca="1" si="25"/>
        <v>0.31010514632176411</v>
      </c>
      <c r="D541" s="9">
        <f ca="1">Assumptions!B$3*(1+B541)^24*(1-C541/12)^24</f>
        <v>590172.33617901523</v>
      </c>
      <c r="E541" s="9">
        <f t="shared" ca="1" si="26"/>
        <v>7082068.0341481827</v>
      </c>
    </row>
    <row r="542" spans="1:5" x14ac:dyDescent="0.35">
      <c r="A542">
        <v>529</v>
      </c>
      <c r="B542">
        <f t="shared" ca="1" si="24"/>
        <v>3.368405001057885E-2</v>
      </c>
      <c r="C542">
        <f t="shared" ca="1" si="25"/>
        <v>0.28263196285641423</v>
      </c>
      <c r="D542" s="9">
        <f ca="1">Assumptions!B$3*(1+B542)^24*(1-C542/12)^24</f>
        <v>570105.5142040964</v>
      </c>
      <c r="E542" s="9">
        <f t="shared" ca="1" si="26"/>
        <v>6841266.1704491563</v>
      </c>
    </row>
    <row r="543" spans="1:5" x14ac:dyDescent="0.35">
      <c r="A543">
        <v>530</v>
      </c>
      <c r="B543">
        <f t="shared" ca="1" si="24"/>
        <v>1.3162291911105673E-2</v>
      </c>
      <c r="C543">
        <f t="shared" ca="1" si="25"/>
        <v>0.20953640100085971</v>
      </c>
      <c r="D543" s="9">
        <f ca="1">Assumptions!B$3*(1+B543)^24*(1-C543/12)^24</f>
        <v>409037.91207223962</v>
      </c>
      <c r="E543" s="9">
        <f t="shared" ca="1" si="26"/>
        <v>4908454.9448668752</v>
      </c>
    </row>
    <row r="544" spans="1:5" x14ac:dyDescent="0.35">
      <c r="A544">
        <v>531</v>
      </c>
      <c r="B544">
        <f t="shared" ca="1" si="24"/>
        <v>2.9509337336113693E-2</v>
      </c>
      <c r="C544">
        <f t="shared" ca="1" si="25"/>
        <v>0.31160129446750062</v>
      </c>
      <c r="D544" s="9">
        <f ca="1">Assumptions!B$3*(1+B544)^24*(1-C544/12)^24</f>
        <v>487498.5748234918</v>
      </c>
      <c r="E544" s="9">
        <f t="shared" ca="1" si="26"/>
        <v>5849982.8978819018</v>
      </c>
    </row>
    <row r="545" spans="1:5" x14ac:dyDescent="0.35">
      <c r="A545">
        <v>532</v>
      </c>
      <c r="B545">
        <f t="shared" ca="1" si="24"/>
        <v>4.339482343474392E-2</v>
      </c>
      <c r="C545">
        <f t="shared" ca="1" si="25"/>
        <v>0.34413043543805238</v>
      </c>
      <c r="D545" s="9">
        <f ca="1">Assumptions!B$3*(1+B545)^24*(1-C545/12)^24</f>
        <v>628878.18540335365</v>
      </c>
      <c r="E545" s="9">
        <f t="shared" ca="1" si="26"/>
        <v>7546538.2248402443</v>
      </c>
    </row>
    <row r="546" spans="1:5" x14ac:dyDescent="0.35">
      <c r="A546">
        <v>533</v>
      </c>
      <c r="B546">
        <f t="shared" ca="1" si="24"/>
        <v>3.21851543841589E-2</v>
      </c>
      <c r="C546">
        <f t="shared" ca="1" si="25"/>
        <v>0.20118562992803313</v>
      </c>
      <c r="D546" s="9">
        <f ca="1">Assumptions!B$3*(1+B546)^24*(1-C546/12)^24</f>
        <v>650173.73139437963</v>
      </c>
      <c r="E546" s="9">
        <f t="shared" ca="1" si="26"/>
        <v>7802084.7767325556</v>
      </c>
    </row>
    <row r="547" spans="1:5" x14ac:dyDescent="0.35">
      <c r="A547">
        <v>534</v>
      </c>
      <c r="B547">
        <f t="shared" ca="1" si="24"/>
        <v>2.863397550727256E-2</v>
      </c>
      <c r="C547">
        <f t="shared" ca="1" si="25"/>
        <v>0.26318775955651807</v>
      </c>
      <c r="D547" s="9">
        <f ca="1">Assumptions!B$3*(1+B547)^24*(1-C547/12)^24</f>
        <v>527461.17518910673</v>
      </c>
      <c r="E547" s="9">
        <f t="shared" ca="1" si="26"/>
        <v>6329534.1022692807</v>
      </c>
    </row>
    <row r="548" spans="1:5" x14ac:dyDescent="0.35">
      <c r="A548">
        <v>535</v>
      </c>
      <c r="B548">
        <f t="shared" ca="1" si="24"/>
        <v>3.8169755182314836E-2</v>
      </c>
      <c r="C548">
        <f t="shared" ca="1" si="25"/>
        <v>0.2085271340187333</v>
      </c>
      <c r="D548" s="9">
        <f ca="1">Assumptions!B$3*(1+B548)^24*(1-C548/12)^24</f>
        <v>735868.57360742788</v>
      </c>
      <c r="E548" s="9">
        <f t="shared" ca="1" si="26"/>
        <v>8830422.8832891341</v>
      </c>
    </row>
    <row r="549" spans="1:5" x14ac:dyDescent="0.35">
      <c r="A549">
        <v>536</v>
      </c>
      <c r="B549">
        <f t="shared" ca="1" si="24"/>
        <v>2.787855146892192E-2</v>
      </c>
      <c r="C549">
        <f t="shared" ca="1" si="25"/>
        <v>0.21227089331583221</v>
      </c>
      <c r="D549" s="9">
        <f ca="1">Assumptions!B$3*(1+B549)^24*(1-C549/12)^24</f>
        <v>574980.0652323442</v>
      </c>
      <c r="E549" s="9">
        <f t="shared" ca="1" si="26"/>
        <v>6899760.7827881305</v>
      </c>
    </row>
    <row r="550" spans="1:5" x14ac:dyDescent="0.35">
      <c r="A550">
        <v>537</v>
      </c>
      <c r="B550">
        <f t="shared" ca="1" si="24"/>
        <v>1.6944895947248049E-2</v>
      </c>
      <c r="C550">
        <f t="shared" ca="1" si="25"/>
        <v>0.28006847415436198</v>
      </c>
      <c r="D550" s="9">
        <f ca="1">Assumptions!B$3*(1+B550)^24*(1-C550/12)^24</f>
        <v>387316.37536684028</v>
      </c>
      <c r="E550" s="9">
        <f t="shared" ca="1" si="26"/>
        <v>4647796.5044020833</v>
      </c>
    </row>
    <row r="551" spans="1:5" x14ac:dyDescent="0.35">
      <c r="A551">
        <v>538</v>
      </c>
      <c r="B551">
        <f t="shared" ca="1" si="24"/>
        <v>2.5620399144300553E-2</v>
      </c>
      <c r="C551">
        <f t="shared" ca="1" si="25"/>
        <v>0.19175161095818949</v>
      </c>
      <c r="D551" s="9">
        <f ca="1">Assumptions!B$3*(1+B551)^24*(1-C551/12)^24</f>
        <v>568665.78528760117</v>
      </c>
      <c r="E551" s="9">
        <f t="shared" ca="1" si="26"/>
        <v>6823989.4234512141</v>
      </c>
    </row>
    <row r="552" spans="1:5" x14ac:dyDescent="0.35">
      <c r="A552">
        <v>539</v>
      </c>
      <c r="B552">
        <f t="shared" ca="1" si="24"/>
        <v>1.6541680423628944E-2</v>
      </c>
      <c r="C552">
        <f t="shared" ca="1" si="25"/>
        <v>0.31884839215072003</v>
      </c>
      <c r="D552" s="9">
        <f ca="1">Assumptions!B$3*(1+B552)^24*(1-C552/12)^24</f>
        <v>354312.43642660626</v>
      </c>
      <c r="E552" s="9">
        <f t="shared" ca="1" si="26"/>
        <v>4251749.2371192751</v>
      </c>
    </row>
    <row r="553" spans="1:5" x14ac:dyDescent="0.35">
      <c r="A553">
        <v>540</v>
      </c>
      <c r="B553">
        <f t="shared" ca="1" si="24"/>
        <v>3.3051232935440773E-2</v>
      </c>
      <c r="C553">
        <f t="shared" ca="1" si="25"/>
        <v>0.20130357907899227</v>
      </c>
      <c r="D553" s="9">
        <f ca="1">Assumptions!B$3*(1+B553)^24*(1-C553/12)^24</f>
        <v>663234.74292354472</v>
      </c>
      <c r="E553" s="9">
        <f t="shared" ca="1" si="26"/>
        <v>7958816.9150825366</v>
      </c>
    </row>
    <row r="554" spans="1:5" x14ac:dyDescent="0.35">
      <c r="A554">
        <v>541</v>
      </c>
      <c r="B554">
        <f t="shared" ca="1" si="24"/>
        <v>4.6480929205048857E-2</v>
      </c>
      <c r="C554">
        <f t="shared" ca="1" si="25"/>
        <v>0.22021307914847868</v>
      </c>
      <c r="D554" s="9">
        <f ca="1">Assumptions!B$3*(1+B554)^24*(1-C554/12)^24</f>
        <v>870113.77933992725</v>
      </c>
      <c r="E554" s="9">
        <f t="shared" ca="1" si="26"/>
        <v>10441365.352079127</v>
      </c>
    </row>
    <row r="555" spans="1:5" x14ac:dyDescent="0.35">
      <c r="A555">
        <v>542</v>
      </c>
      <c r="B555">
        <f t="shared" ca="1" si="24"/>
        <v>4.4631117442750182E-2</v>
      </c>
      <c r="C555">
        <f t="shared" ca="1" si="25"/>
        <v>0.20524740811861664</v>
      </c>
      <c r="D555" s="9">
        <f ca="1">Assumptions!B$3*(1+B555)^24*(1-C555/12)^24</f>
        <v>859743.75128105609</v>
      </c>
      <c r="E555" s="9">
        <f t="shared" ca="1" si="26"/>
        <v>10316925.015372673</v>
      </c>
    </row>
    <row r="556" spans="1:5" x14ac:dyDescent="0.35">
      <c r="A556">
        <v>543</v>
      </c>
      <c r="B556">
        <f t="shared" ca="1" si="24"/>
        <v>3.2781266598192166E-2</v>
      </c>
      <c r="C556">
        <f t="shared" ca="1" si="25"/>
        <v>0.21379088917433292</v>
      </c>
      <c r="D556" s="9">
        <f ca="1">Assumptions!B$3*(1+B556)^24*(1-C556/12)^24</f>
        <v>642548.36836683413</v>
      </c>
      <c r="E556" s="9">
        <f t="shared" ca="1" si="26"/>
        <v>7710580.420402009</v>
      </c>
    </row>
    <row r="557" spans="1:5" x14ac:dyDescent="0.35">
      <c r="A557">
        <v>544</v>
      </c>
      <c r="B557">
        <f t="shared" ca="1" si="24"/>
        <v>2.4046212194015534E-2</v>
      </c>
      <c r="C557">
        <f t="shared" ca="1" si="25"/>
        <v>0.29312738552963591</v>
      </c>
      <c r="D557" s="9">
        <f ca="1">Assumptions!B$3*(1+B557)^24*(1-C557/12)^24</f>
        <v>445632.37082660577</v>
      </c>
      <c r="E557" s="9">
        <f t="shared" ca="1" si="26"/>
        <v>5347588.4499192694</v>
      </c>
    </row>
    <row r="558" spans="1:5" x14ac:dyDescent="0.35">
      <c r="A558">
        <v>545</v>
      </c>
      <c r="B558">
        <f t="shared" ca="1" si="24"/>
        <v>3.0109738204159343E-2</v>
      </c>
      <c r="C558">
        <f t="shared" ca="1" si="25"/>
        <v>0.23298532742944764</v>
      </c>
      <c r="D558" s="9">
        <f ca="1">Assumptions!B$3*(1+B558)^24*(1-C558/12)^24</f>
        <v>580658.62389113824</v>
      </c>
      <c r="E558" s="9">
        <f t="shared" ca="1" si="26"/>
        <v>6967903.4866936589</v>
      </c>
    </row>
    <row r="559" spans="1:5" x14ac:dyDescent="0.35">
      <c r="A559">
        <v>546</v>
      </c>
      <c r="B559">
        <f t="shared" ca="1" si="24"/>
        <v>2.9186340423244306E-2</v>
      </c>
      <c r="C559">
        <f t="shared" ca="1" si="25"/>
        <v>0.31344017613331987</v>
      </c>
      <c r="D559" s="9">
        <f ca="1">Assumptions!B$3*(1+B559)^24*(1-C559/12)^24</f>
        <v>482017.46652599832</v>
      </c>
      <c r="E559" s="9">
        <f t="shared" ca="1" si="26"/>
        <v>5784209.5983119793</v>
      </c>
    </row>
    <row r="560" spans="1:5" x14ac:dyDescent="0.35">
      <c r="A560">
        <v>547</v>
      </c>
      <c r="B560">
        <f t="shared" ca="1" si="24"/>
        <v>4.3514484385523002E-2</v>
      </c>
      <c r="C560">
        <f t="shared" ca="1" si="25"/>
        <v>0.2815186640504494</v>
      </c>
      <c r="D560" s="9">
        <f ca="1">Assumptions!B$3*(1+B560)^24*(1-C560/12)^24</f>
        <v>717135.98573633016</v>
      </c>
      <c r="E560" s="9">
        <f t="shared" ca="1" si="26"/>
        <v>8605631.8288359623</v>
      </c>
    </row>
    <row r="561" spans="1:5" x14ac:dyDescent="0.35">
      <c r="A561">
        <v>548</v>
      </c>
      <c r="B561">
        <f t="shared" ca="1" si="24"/>
        <v>1.7628799107881135E-2</v>
      </c>
      <c r="C561">
        <f t="shared" ca="1" si="25"/>
        <v>0.31111753280496568</v>
      </c>
      <c r="D561" s="9">
        <f ca="1">Assumptions!B$3*(1+B561)^24*(1-C561/12)^24</f>
        <v>369337.25277077418</v>
      </c>
      <c r="E561" s="9">
        <f t="shared" ca="1" si="26"/>
        <v>4432047.0332492907</v>
      </c>
    </row>
    <row r="562" spans="1:5" x14ac:dyDescent="0.35">
      <c r="A562">
        <v>549</v>
      </c>
      <c r="B562">
        <f t="shared" ca="1" si="24"/>
        <v>1.8893092603204965E-2</v>
      </c>
      <c r="C562">
        <f t="shared" ca="1" si="25"/>
        <v>0.31152876246145539</v>
      </c>
      <c r="D562" s="9">
        <f ca="1">Assumptions!B$3*(1+B562)^24*(1-C562/12)^24</f>
        <v>380187.56286429043</v>
      </c>
      <c r="E562" s="9">
        <f t="shared" ca="1" si="26"/>
        <v>4562250.7543714847</v>
      </c>
    </row>
    <row r="563" spans="1:5" x14ac:dyDescent="0.35">
      <c r="A563">
        <v>550</v>
      </c>
      <c r="B563">
        <f t="shared" ca="1" si="24"/>
        <v>1.6377475800992441E-2</v>
      </c>
      <c r="C563">
        <f t="shared" ca="1" si="25"/>
        <v>0.25967945796783665</v>
      </c>
      <c r="D563" s="9">
        <f ca="1">Assumptions!B$3*(1+B563)^24*(1-C563/12)^24</f>
        <v>398442.49217986618</v>
      </c>
      <c r="E563" s="9">
        <f t="shared" ca="1" si="26"/>
        <v>4781309.9061583942</v>
      </c>
    </row>
    <row r="564" spans="1:5" x14ac:dyDescent="0.35">
      <c r="A564">
        <v>551</v>
      </c>
      <c r="B564">
        <f t="shared" ca="1" si="24"/>
        <v>5.3055932707316802E-2</v>
      </c>
      <c r="C564">
        <f t="shared" ca="1" si="25"/>
        <v>0.24060358907771801</v>
      </c>
      <c r="D564" s="9">
        <f ca="1">Assumptions!B$3*(1+B564)^24*(1-C564/12)^24</f>
        <v>970065.92997368658</v>
      </c>
      <c r="E564" s="9">
        <f t="shared" ca="1" si="26"/>
        <v>11640791.159684239</v>
      </c>
    </row>
    <row r="565" spans="1:5" x14ac:dyDescent="0.35">
      <c r="A565">
        <v>552</v>
      </c>
      <c r="B565">
        <f t="shared" ca="1" si="24"/>
        <v>4.011800122075266E-2</v>
      </c>
      <c r="C565">
        <f t="shared" ca="1" si="25"/>
        <v>0.14277917109901245</v>
      </c>
      <c r="D565" s="9">
        <f ca="1">Assumptions!B$3*(1+B565)^24*(1-C565/12)^24</f>
        <v>879626.8483658164</v>
      </c>
      <c r="E565" s="9">
        <f t="shared" ca="1" si="26"/>
        <v>10555522.180389797</v>
      </c>
    </row>
    <row r="566" spans="1:5" x14ac:dyDescent="0.35">
      <c r="A566">
        <v>553</v>
      </c>
      <c r="B566">
        <f t="shared" ca="1" si="24"/>
        <v>2.0848827635853537E-2</v>
      </c>
      <c r="C566">
        <f t="shared" ca="1" si="25"/>
        <v>0.30127007672623901</v>
      </c>
      <c r="D566" s="9">
        <f ca="1">Assumptions!B$3*(1+B566)^24*(1-C566/12)^24</f>
        <v>406564.5960625101</v>
      </c>
      <c r="E566" s="9">
        <f t="shared" ca="1" si="26"/>
        <v>4878775.1527501214</v>
      </c>
    </row>
    <row r="567" spans="1:5" x14ac:dyDescent="0.35">
      <c r="A567">
        <v>554</v>
      </c>
      <c r="B567">
        <f t="shared" ca="1" si="24"/>
        <v>3.2699562400925475E-2</v>
      </c>
      <c r="C567">
        <f t="shared" ca="1" si="25"/>
        <v>0.29519217359839794</v>
      </c>
      <c r="D567" s="9">
        <f ca="1">Assumptions!B$3*(1+B567)^24*(1-C567/12)^24</f>
        <v>543056.11658848787</v>
      </c>
      <c r="E567" s="9">
        <f t="shared" ca="1" si="26"/>
        <v>6516673.3990618549</v>
      </c>
    </row>
    <row r="568" spans="1:5" x14ac:dyDescent="0.35">
      <c r="A568">
        <v>555</v>
      </c>
      <c r="B568">
        <f t="shared" ca="1" si="24"/>
        <v>2.4936857195060495E-2</v>
      </c>
      <c r="C568">
        <f t="shared" ca="1" si="25"/>
        <v>0.25524916978700712</v>
      </c>
      <c r="D568" s="9">
        <f ca="1">Assumptions!B$3*(1+B568)^24*(1-C568/12)^24</f>
        <v>491708.83605490049</v>
      </c>
      <c r="E568" s="9">
        <f t="shared" ca="1" si="26"/>
        <v>5900506.0326588061</v>
      </c>
    </row>
    <row r="569" spans="1:5" x14ac:dyDescent="0.35">
      <c r="A569">
        <v>556</v>
      </c>
      <c r="B569">
        <f t="shared" ca="1" si="24"/>
        <v>4.0785868309112495E-2</v>
      </c>
      <c r="C569">
        <f t="shared" ca="1" si="25"/>
        <v>0.23490083518596133</v>
      </c>
      <c r="D569" s="9">
        <f ca="1">Assumptions!B$3*(1+B569)^24*(1-C569/12)^24</f>
        <v>740787.19364247308</v>
      </c>
      <c r="E569" s="9">
        <f t="shared" ca="1" si="26"/>
        <v>8889446.3237096779</v>
      </c>
    </row>
    <row r="570" spans="1:5" x14ac:dyDescent="0.35">
      <c r="A570">
        <v>557</v>
      </c>
      <c r="B570">
        <f t="shared" ca="1" si="24"/>
        <v>3.1958612389446903E-2</v>
      </c>
      <c r="C570">
        <f t="shared" ca="1" si="25"/>
        <v>0.25541251454933256</v>
      </c>
      <c r="D570" s="9">
        <f ca="1">Assumptions!B$3*(1+B570)^24*(1-C570/12)^24</f>
        <v>579064.71954724158</v>
      </c>
      <c r="E570" s="9">
        <f t="shared" ca="1" si="26"/>
        <v>6948776.6345668994</v>
      </c>
    </row>
    <row r="571" spans="1:5" x14ac:dyDescent="0.35">
      <c r="A571">
        <v>558</v>
      </c>
      <c r="B571">
        <f t="shared" ca="1" si="24"/>
        <v>3.1138403756088038E-2</v>
      </c>
      <c r="C571">
        <f t="shared" ca="1" si="25"/>
        <v>0.35873790988658727</v>
      </c>
      <c r="D571" s="9">
        <f ca="1">Assumptions!B$3*(1+B571)^24*(1-C571/12)^24</f>
        <v>459552.01019254501</v>
      </c>
      <c r="E571" s="9">
        <f t="shared" ca="1" si="26"/>
        <v>5514624.1223105397</v>
      </c>
    </row>
    <row r="572" spans="1:5" x14ac:dyDescent="0.35">
      <c r="A572">
        <v>559</v>
      </c>
      <c r="B572">
        <f t="shared" ca="1" si="24"/>
        <v>3.1592098088442364E-2</v>
      </c>
      <c r="C572">
        <f t="shared" ca="1" si="25"/>
        <v>0.27053686839263325</v>
      </c>
      <c r="D572" s="9">
        <f ca="1">Assumptions!B$3*(1+B572)^24*(1-C572/12)^24</f>
        <v>556664.29363642703</v>
      </c>
      <c r="E572" s="9">
        <f t="shared" ca="1" si="26"/>
        <v>6679971.5236371243</v>
      </c>
    </row>
    <row r="573" spans="1:5" x14ac:dyDescent="0.35">
      <c r="A573">
        <v>560</v>
      </c>
      <c r="B573">
        <f t="shared" ca="1" si="24"/>
        <v>3.4302199687400295E-2</v>
      </c>
      <c r="C573">
        <f t="shared" ca="1" si="25"/>
        <v>0.32730959639194523</v>
      </c>
      <c r="D573" s="9">
        <f ca="1">Assumptions!B$3*(1+B573)^24*(1-C573/12)^24</f>
        <v>527676.72250709601</v>
      </c>
      <c r="E573" s="9">
        <f t="shared" ca="1" si="26"/>
        <v>6332120.6700851526</v>
      </c>
    </row>
    <row r="574" spans="1:5" x14ac:dyDescent="0.35">
      <c r="A574">
        <v>561</v>
      </c>
      <c r="B574">
        <f t="shared" ca="1" si="24"/>
        <v>3.4669559394471944E-2</v>
      </c>
      <c r="C574">
        <f t="shared" ca="1" si="25"/>
        <v>0.29512049551923125</v>
      </c>
      <c r="D574" s="9">
        <f ca="1">Assumptions!B$3*(1+B574)^24*(1-C574/12)^24</f>
        <v>568555.46218601498</v>
      </c>
      <c r="E574" s="9">
        <f t="shared" ca="1" si="26"/>
        <v>6822665.5462321797</v>
      </c>
    </row>
    <row r="575" spans="1:5" x14ac:dyDescent="0.35">
      <c r="A575">
        <v>562</v>
      </c>
      <c r="B575">
        <f t="shared" ca="1" si="24"/>
        <v>3.4971473967003473E-2</v>
      </c>
      <c r="C575">
        <f t="shared" ca="1" si="25"/>
        <v>0.25601997735647974</v>
      </c>
      <c r="D575" s="9">
        <f ca="1">Assumptions!B$3*(1+B575)^24*(1-C575/12)^24</f>
        <v>620260.86638320761</v>
      </c>
      <c r="E575" s="9">
        <f t="shared" ca="1" si="26"/>
        <v>7443130.3965984918</v>
      </c>
    </row>
    <row r="576" spans="1:5" x14ac:dyDescent="0.35">
      <c r="A576">
        <v>563</v>
      </c>
      <c r="B576">
        <f t="shared" ca="1" si="24"/>
        <v>3.1002603079357816E-2</v>
      </c>
      <c r="C576">
        <f t="shared" ca="1" si="25"/>
        <v>0.25768371390791101</v>
      </c>
      <c r="D576" s="9">
        <f ca="1">Assumptions!B$3*(1+B576)^24*(1-C576/12)^24</f>
        <v>563703.63633156812</v>
      </c>
      <c r="E576" s="9">
        <f t="shared" ca="1" si="26"/>
        <v>6764443.6359788179</v>
      </c>
    </row>
    <row r="577" spans="1:5" x14ac:dyDescent="0.35">
      <c r="A577">
        <v>564</v>
      </c>
      <c r="B577">
        <f t="shared" ca="1" si="24"/>
        <v>2.9309176308931456E-2</v>
      </c>
      <c r="C577">
        <f t="shared" ca="1" si="25"/>
        <v>0.33453226770123334</v>
      </c>
      <c r="D577" s="9">
        <f ca="1">Assumptions!B$3*(1+B577)^24*(1-C577/12)^24</f>
        <v>462890.21805839671</v>
      </c>
      <c r="E577" s="9">
        <f t="shared" ca="1" si="26"/>
        <v>5554682.616700761</v>
      </c>
    </row>
    <row r="578" spans="1:5" x14ac:dyDescent="0.35">
      <c r="A578">
        <v>565</v>
      </c>
      <c r="B578">
        <f t="shared" ca="1" si="24"/>
        <v>3.203784627415536E-2</v>
      </c>
      <c r="C578">
        <f t="shared" ca="1" si="25"/>
        <v>0.22708054574303663</v>
      </c>
      <c r="D578" s="9">
        <f ca="1">Assumptions!B$3*(1+B578)^24*(1-C578/12)^24</f>
        <v>614668.68745220627</v>
      </c>
      <c r="E578" s="9">
        <f t="shared" ca="1" si="26"/>
        <v>7376024.2494264748</v>
      </c>
    </row>
    <row r="579" spans="1:5" x14ac:dyDescent="0.35">
      <c r="A579">
        <v>566</v>
      </c>
      <c r="B579">
        <f t="shared" ca="1" si="24"/>
        <v>2.3702831209585773E-2</v>
      </c>
      <c r="C579">
        <f t="shared" ca="1" si="25"/>
        <v>0.22174346795384803</v>
      </c>
      <c r="D579" s="9">
        <f ca="1">Assumptions!B$3*(1+B579)^24*(1-C579/12)^24</f>
        <v>511497.94903356995</v>
      </c>
      <c r="E579" s="9">
        <f t="shared" ca="1" si="26"/>
        <v>6137975.3884028392</v>
      </c>
    </row>
    <row r="580" spans="1:5" x14ac:dyDescent="0.35">
      <c r="A580">
        <v>567</v>
      </c>
      <c r="B580">
        <f t="shared" ca="1" si="24"/>
        <v>1.8318258654288738E-2</v>
      </c>
      <c r="C580">
        <f t="shared" ca="1" si="25"/>
        <v>0.23661220039619835</v>
      </c>
      <c r="D580" s="9">
        <f ca="1">Assumptions!B$3*(1+B580)^24*(1-C580/12)^24</f>
        <v>437228.69926342339</v>
      </c>
      <c r="E580" s="9">
        <f t="shared" ca="1" si="26"/>
        <v>5246744.3911610804</v>
      </c>
    </row>
    <row r="581" spans="1:5" x14ac:dyDescent="0.35">
      <c r="A581">
        <v>568</v>
      </c>
      <c r="B581">
        <f t="shared" ca="1" si="24"/>
        <v>2.7415579614130763E-2</v>
      </c>
      <c r="C581">
        <f t="shared" ca="1" si="25"/>
        <v>0.24256497965792118</v>
      </c>
      <c r="D581" s="9">
        <f ca="1">Assumptions!B$3*(1+B581)^24*(1-C581/12)^24</f>
        <v>534731.28673414013</v>
      </c>
      <c r="E581" s="9">
        <f t="shared" ca="1" si="26"/>
        <v>6416775.440809682</v>
      </c>
    </row>
    <row r="582" spans="1:5" x14ac:dyDescent="0.35">
      <c r="A582">
        <v>569</v>
      </c>
      <c r="B582">
        <f t="shared" ca="1" si="24"/>
        <v>2.2267611104974282E-2</v>
      </c>
      <c r="C582">
        <f t="shared" ca="1" si="25"/>
        <v>0.23525166232186157</v>
      </c>
      <c r="D582" s="9">
        <f ca="1">Assumptions!B$3*(1+B582)^24*(1-C582/12)^24</f>
        <v>481127.07374947477</v>
      </c>
      <c r="E582" s="9">
        <f t="shared" ca="1" si="26"/>
        <v>5773524.8849936975</v>
      </c>
    </row>
    <row r="583" spans="1:5" x14ac:dyDescent="0.35">
      <c r="A583">
        <v>570</v>
      </c>
      <c r="B583">
        <f t="shared" ca="1" si="24"/>
        <v>3.2113394992086992E-2</v>
      </c>
      <c r="C583">
        <f t="shared" ca="1" si="25"/>
        <v>0.25823768239392048</v>
      </c>
      <c r="D583" s="9">
        <f ca="1">Assumptions!B$3*(1+B583)^24*(1-C583/12)^24</f>
        <v>577806.94625365629</v>
      </c>
      <c r="E583" s="9">
        <f t="shared" ca="1" si="26"/>
        <v>6933683.3550438751</v>
      </c>
    </row>
    <row r="584" spans="1:5" x14ac:dyDescent="0.35">
      <c r="A584">
        <v>571</v>
      </c>
      <c r="B584">
        <f t="shared" ca="1" si="24"/>
        <v>4.1464586311495424E-2</v>
      </c>
      <c r="C584">
        <f t="shared" ca="1" si="25"/>
        <v>0.31977665353853968</v>
      </c>
      <c r="D584" s="9">
        <f ca="1">Assumptions!B$3*(1+B584)^24*(1-C584/12)^24</f>
        <v>632443.41452361934</v>
      </c>
      <c r="E584" s="9">
        <f t="shared" ca="1" si="26"/>
        <v>7589320.9742834326</v>
      </c>
    </row>
    <row r="585" spans="1:5" x14ac:dyDescent="0.35">
      <c r="A585">
        <v>572</v>
      </c>
      <c r="B585">
        <f t="shared" ca="1" si="24"/>
        <v>3.3884240991621642E-2</v>
      </c>
      <c r="C585">
        <f t="shared" ca="1" si="25"/>
        <v>0.28265697752262903</v>
      </c>
      <c r="D585" s="9">
        <f ca="1">Assumptions!B$3*(1+B585)^24*(1-C585/12)^24</f>
        <v>572731.94048551715</v>
      </c>
      <c r="E585" s="9">
        <f t="shared" ca="1" si="26"/>
        <v>6872783.2858262062</v>
      </c>
    </row>
    <row r="586" spans="1:5" x14ac:dyDescent="0.35">
      <c r="A586">
        <v>573</v>
      </c>
      <c r="B586">
        <f t="shared" ca="1" si="24"/>
        <v>5.3235234250580972E-2</v>
      </c>
      <c r="C586">
        <f t="shared" ca="1" si="25"/>
        <v>0.33677793751478924</v>
      </c>
      <c r="D586" s="9">
        <f ca="1">Assumptions!B$3*(1+B586)^24*(1-C586/12)^24</f>
        <v>799797.68623462657</v>
      </c>
      <c r="E586" s="9">
        <f t="shared" ca="1" si="26"/>
        <v>9597572.2348155193</v>
      </c>
    </row>
    <row r="587" spans="1:5" x14ac:dyDescent="0.35">
      <c r="A587">
        <v>574</v>
      </c>
      <c r="B587">
        <f t="shared" ca="1" si="24"/>
        <v>2.5428290140160185E-2</v>
      </c>
      <c r="C587">
        <f t="shared" ca="1" si="25"/>
        <v>0.29688332868054951</v>
      </c>
      <c r="D587" s="9">
        <f ca="1">Assumptions!B$3*(1+B587)^24*(1-C587/12)^24</f>
        <v>456761.91075452865</v>
      </c>
      <c r="E587" s="9">
        <f t="shared" ca="1" si="26"/>
        <v>5481142.9290543441</v>
      </c>
    </row>
    <row r="588" spans="1:5" x14ac:dyDescent="0.35">
      <c r="A588">
        <v>575</v>
      </c>
      <c r="B588">
        <f t="shared" ca="1" si="24"/>
        <v>2.6221107933813773E-2</v>
      </c>
      <c r="C588">
        <f t="shared" ca="1" si="25"/>
        <v>0.27682569100897586</v>
      </c>
      <c r="D588" s="9">
        <f ca="1">Assumptions!B$3*(1+B588)^24*(1-C588/12)^24</f>
        <v>484834.98440989706</v>
      </c>
      <c r="E588" s="9">
        <f t="shared" ca="1" si="26"/>
        <v>5818019.8129187645</v>
      </c>
    </row>
    <row r="589" spans="1:5" x14ac:dyDescent="0.35">
      <c r="A589">
        <v>576</v>
      </c>
      <c r="B589">
        <f t="shared" ca="1" si="24"/>
        <v>3.5526131185689737E-2</v>
      </c>
      <c r="C589">
        <f t="shared" ca="1" si="25"/>
        <v>0.23308220597354687</v>
      </c>
      <c r="D589" s="9">
        <f ca="1">Assumptions!B$3*(1+B589)^24*(1-C589/12)^24</f>
        <v>658410.49141812162</v>
      </c>
      <c r="E589" s="9">
        <f t="shared" ca="1" si="26"/>
        <v>7900925.8970174594</v>
      </c>
    </row>
    <row r="590" spans="1:5" x14ac:dyDescent="0.35">
      <c r="A590">
        <v>577</v>
      </c>
      <c r="B590">
        <f t="shared" ca="1" si="24"/>
        <v>2.4828616640968887E-2</v>
      </c>
      <c r="C590">
        <f t="shared" ca="1" si="25"/>
        <v>0.30306049723229656</v>
      </c>
      <c r="D590" s="9">
        <f ca="1">Assumptions!B$3*(1+B590)^24*(1-C590/12)^24</f>
        <v>444723.08638230461</v>
      </c>
      <c r="E590" s="9">
        <f t="shared" ca="1" si="26"/>
        <v>5336677.0365876555</v>
      </c>
    </row>
    <row r="591" spans="1:5" x14ac:dyDescent="0.35">
      <c r="A591">
        <v>578</v>
      </c>
      <c r="B591">
        <f t="shared" ca="1" si="24"/>
        <v>2.3940803473921499E-2</v>
      </c>
      <c r="C591">
        <f t="shared" ca="1" si="25"/>
        <v>0.18736598702520757</v>
      </c>
      <c r="D591" s="9">
        <f ca="1">Assumptions!B$3*(1+B591)^24*(1-C591/12)^24</f>
        <v>551625.49793787708</v>
      </c>
      <c r="E591" s="9">
        <f t="shared" ca="1" si="26"/>
        <v>6619505.9752545245</v>
      </c>
    </row>
    <row r="592" spans="1:5" x14ac:dyDescent="0.35">
      <c r="A592">
        <v>579</v>
      </c>
      <c r="B592">
        <f t="shared" ref="B592:B655" ca="1" si="27">_xlfn.NORM.INV(RAND(), $B$4, $B$5)</f>
        <v>1.340823023732611E-2</v>
      </c>
      <c r="C592">
        <f t="shared" ref="C592:C655" ca="1" si="28">+_xlfn.NORM.INV(RAND(), $B$6, $B$7)</f>
        <v>0.24022347626810325</v>
      </c>
      <c r="D592" s="9">
        <f ca="1">Assumptions!B$3*(1+B592)^24*(1-C592/12)^24</f>
        <v>386482.5333294064</v>
      </c>
      <c r="E592" s="9">
        <f t="shared" ref="E592:E655" ca="1" si="29">D592*12</f>
        <v>4637790.3999528773</v>
      </c>
    </row>
    <row r="593" spans="1:5" x14ac:dyDescent="0.35">
      <c r="A593">
        <v>580</v>
      </c>
      <c r="B593">
        <f t="shared" ca="1" si="27"/>
        <v>5.086577621193223E-2</v>
      </c>
      <c r="C593">
        <f t="shared" ca="1" si="28"/>
        <v>0.34162706157187572</v>
      </c>
      <c r="D593" s="9">
        <f ca="1">Assumptions!B$3*(1+B593)^24*(1-C593/12)^24</f>
        <v>750188.82150324294</v>
      </c>
      <c r="E593" s="9">
        <f t="shared" ca="1" si="29"/>
        <v>9002265.8580389153</v>
      </c>
    </row>
    <row r="594" spans="1:5" x14ac:dyDescent="0.35">
      <c r="A594">
        <v>581</v>
      </c>
      <c r="B594">
        <f t="shared" ca="1" si="27"/>
        <v>2.2971153436093343E-2</v>
      </c>
      <c r="C594">
        <f t="shared" ca="1" si="28"/>
        <v>0.2497705248371673</v>
      </c>
      <c r="D594" s="9">
        <f ca="1">Assumptions!B$3*(1+B594)^24*(1-C594/12)^24</f>
        <v>474853.48032546614</v>
      </c>
      <c r="E594" s="9">
        <f t="shared" ca="1" si="29"/>
        <v>5698241.7639055941</v>
      </c>
    </row>
    <row r="595" spans="1:5" x14ac:dyDescent="0.35">
      <c r="A595">
        <v>582</v>
      </c>
      <c r="B595">
        <f t="shared" ca="1" si="27"/>
        <v>4.2694470112097246E-2</v>
      </c>
      <c r="C595">
        <f t="shared" ca="1" si="28"/>
        <v>0.25096321852281711</v>
      </c>
      <c r="D595" s="9">
        <f ca="1">Assumptions!B$3*(1+B595)^24*(1-C595/12)^24</f>
        <v>749117.56734920922</v>
      </c>
      <c r="E595" s="9">
        <f t="shared" ca="1" si="29"/>
        <v>8989410.8081905097</v>
      </c>
    </row>
    <row r="596" spans="1:5" x14ac:dyDescent="0.35">
      <c r="A596">
        <v>583</v>
      </c>
      <c r="B596">
        <f t="shared" ca="1" si="27"/>
        <v>2.5562905253905713E-2</v>
      </c>
      <c r="C596">
        <f t="shared" ca="1" si="28"/>
        <v>0.27293185470391246</v>
      </c>
      <c r="D596" s="9">
        <f ca="1">Assumptions!B$3*(1+B596)^24*(1-C596/12)^24</f>
        <v>481247.00542399666</v>
      </c>
      <c r="E596" s="9">
        <f t="shared" ca="1" si="29"/>
        <v>5774964.0650879601</v>
      </c>
    </row>
    <row r="597" spans="1:5" x14ac:dyDescent="0.35">
      <c r="A597">
        <v>584</v>
      </c>
      <c r="B597">
        <f t="shared" ca="1" si="27"/>
        <v>1.7296993718556322E-2</v>
      </c>
      <c r="C597">
        <f t="shared" ca="1" si="28"/>
        <v>0.23448506107874531</v>
      </c>
      <c r="D597" s="9">
        <f ca="1">Assumptions!B$3*(1+B597)^24*(1-C597/12)^24</f>
        <v>428681.54754765588</v>
      </c>
      <c r="E597" s="9">
        <f t="shared" ca="1" si="29"/>
        <v>5144178.5705718705</v>
      </c>
    </row>
    <row r="598" spans="1:5" x14ac:dyDescent="0.35">
      <c r="A598">
        <v>585</v>
      </c>
      <c r="B598">
        <f t="shared" ca="1" si="27"/>
        <v>1.2514051026385996E-2</v>
      </c>
      <c r="C598">
        <f t="shared" ca="1" si="28"/>
        <v>0.30993379622053535</v>
      </c>
      <c r="D598" s="9">
        <f ca="1">Assumptions!B$3*(1+B598)^24*(1-C598/12)^24</f>
        <v>328064.07919946854</v>
      </c>
      <c r="E598" s="9">
        <f t="shared" ca="1" si="29"/>
        <v>3936768.9503936227</v>
      </c>
    </row>
    <row r="599" spans="1:5" x14ac:dyDescent="0.35">
      <c r="A599">
        <v>586</v>
      </c>
      <c r="B599">
        <f t="shared" ca="1" si="27"/>
        <v>2.3454697623334957E-2</v>
      </c>
      <c r="C599">
        <f t="shared" ca="1" si="28"/>
        <v>0.30878572495238243</v>
      </c>
      <c r="D599" s="9">
        <f ca="1">Assumptions!B$3*(1+B599)^24*(1-C599/12)^24</f>
        <v>425602.16602447437</v>
      </c>
      <c r="E599" s="9">
        <f t="shared" ca="1" si="29"/>
        <v>5107225.9922936922</v>
      </c>
    </row>
    <row r="600" spans="1:5" x14ac:dyDescent="0.35">
      <c r="A600">
        <v>587</v>
      </c>
      <c r="B600">
        <f t="shared" ca="1" si="27"/>
        <v>3.5435844362262617E-2</v>
      </c>
      <c r="C600">
        <f t="shared" ca="1" si="28"/>
        <v>0.28721992189348922</v>
      </c>
      <c r="D600" s="9">
        <f ca="1">Assumptions!B$3*(1+B600)^24*(1-C600/12)^24</f>
        <v>588196.44026748626</v>
      </c>
      <c r="E600" s="9">
        <f t="shared" ca="1" si="29"/>
        <v>7058357.2832098352</v>
      </c>
    </row>
    <row r="601" spans="1:5" x14ac:dyDescent="0.35">
      <c r="A601">
        <v>588</v>
      </c>
      <c r="B601">
        <f t="shared" ca="1" si="27"/>
        <v>1.7786304214687715E-2</v>
      </c>
      <c r="C601">
        <f t="shared" ca="1" si="28"/>
        <v>0.27607026384903194</v>
      </c>
      <c r="D601" s="9">
        <f ca="1">Assumptions!B$3*(1+B601)^24*(1-C601/12)^24</f>
        <v>398328.51815898233</v>
      </c>
      <c r="E601" s="9">
        <f t="shared" ca="1" si="29"/>
        <v>4779942.2179077882</v>
      </c>
    </row>
    <row r="602" spans="1:5" x14ac:dyDescent="0.35">
      <c r="A602">
        <v>589</v>
      </c>
      <c r="B602">
        <f t="shared" ca="1" si="27"/>
        <v>1.7365206872889498E-3</v>
      </c>
      <c r="C602">
        <f t="shared" ca="1" si="28"/>
        <v>0.22703824627036745</v>
      </c>
      <c r="D602" s="9">
        <f ca="1">Assumptions!B$3*(1+B602)^24*(1-C602/12)^24</f>
        <v>300654.52458279184</v>
      </c>
      <c r="E602" s="9">
        <f t="shared" ca="1" si="29"/>
        <v>3607854.2949935021</v>
      </c>
    </row>
    <row r="603" spans="1:5" x14ac:dyDescent="0.35">
      <c r="A603">
        <v>590</v>
      </c>
      <c r="B603">
        <f t="shared" ca="1" si="27"/>
        <v>2.9052377336671566E-2</v>
      </c>
      <c r="C603">
        <f t="shared" ca="1" si="28"/>
        <v>0.26821494647841443</v>
      </c>
      <c r="D603" s="9">
        <f ca="1">Assumptions!B$3*(1+B603)^24*(1-C603/12)^24</f>
        <v>527185.96201065381</v>
      </c>
      <c r="E603" s="9">
        <f t="shared" ca="1" si="29"/>
        <v>6326231.5441278461</v>
      </c>
    </row>
    <row r="604" spans="1:5" x14ac:dyDescent="0.35">
      <c r="A604">
        <v>591</v>
      </c>
      <c r="B604">
        <f t="shared" ca="1" si="27"/>
        <v>2.5673592684874187E-2</v>
      </c>
      <c r="C604">
        <f t="shared" ca="1" si="28"/>
        <v>0.28964786754828087</v>
      </c>
      <c r="D604" s="9">
        <f ca="1">Assumptions!B$3*(1+B604)^24*(1-C604/12)^24</f>
        <v>466256.67627128179</v>
      </c>
      <c r="E604" s="9">
        <f t="shared" ca="1" si="29"/>
        <v>5595080.1152553819</v>
      </c>
    </row>
    <row r="605" spans="1:5" x14ac:dyDescent="0.35">
      <c r="A605">
        <v>592</v>
      </c>
      <c r="B605">
        <f t="shared" ca="1" si="27"/>
        <v>2.3183187659716487E-2</v>
      </c>
      <c r="C605">
        <f t="shared" ca="1" si="28"/>
        <v>0.2585059051835516</v>
      </c>
      <c r="D605" s="9">
        <f ca="1">Assumptions!B$3*(1+B605)^24*(1-C605/12)^24</f>
        <v>468779.05659060203</v>
      </c>
      <c r="E605" s="9">
        <f t="shared" ca="1" si="29"/>
        <v>5625348.6790872244</v>
      </c>
    </row>
    <row r="606" spans="1:5" x14ac:dyDescent="0.35">
      <c r="A606">
        <v>593</v>
      </c>
      <c r="B606">
        <f t="shared" ca="1" si="27"/>
        <v>3.0638498770676655E-2</v>
      </c>
      <c r="C606">
        <f t="shared" ca="1" si="28"/>
        <v>0.19927323770903727</v>
      </c>
      <c r="D606" s="9">
        <f ca="1">Assumptions!B$3*(1+B606)^24*(1-C606/12)^24</f>
        <v>629634.84465424239</v>
      </c>
      <c r="E606" s="9">
        <f t="shared" ca="1" si="29"/>
        <v>7555618.1358509082</v>
      </c>
    </row>
    <row r="607" spans="1:5" x14ac:dyDescent="0.35">
      <c r="A607">
        <v>594</v>
      </c>
      <c r="B607">
        <f t="shared" ca="1" si="27"/>
        <v>4.2218480718068635E-2</v>
      </c>
      <c r="C607">
        <f t="shared" ca="1" si="28"/>
        <v>0.29856718876791927</v>
      </c>
      <c r="D607" s="9">
        <f ca="1">Assumptions!B$3*(1+B607)^24*(1-C607/12)^24</f>
        <v>672161.27539689594</v>
      </c>
      <c r="E607" s="9">
        <f t="shared" ca="1" si="29"/>
        <v>8065935.3047627509</v>
      </c>
    </row>
    <row r="608" spans="1:5" x14ac:dyDescent="0.35">
      <c r="A608">
        <v>595</v>
      </c>
      <c r="B608">
        <f t="shared" ca="1" si="27"/>
        <v>1.7864918989466898E-2</v>
      </c>
      <c r="C608">
        <f t="shared" ca="1" si="28"/>
        <v>0.32722354878712434</v>
      </c>
      <c r="D608" s="9">
        <f ca="1">Assumptions!B$3*(1+B608)^24*(1-C608/12)^24</f>
        <v>359310.18617768079</v>
      </c>
      <c r="E608" s="9">
        <f t="shared" ca="1" si="29"/>
        <v>4311722.2341321697</v>
      </c>
    </row>
    <row r="609" spans="1:5" x14ac:dyDescent="0.35">
      <c r="A609">
        <v>596</v>
      </c>
      <c r="B609">
        <f t="shared" ca="1" si="27"/>
        <v>4.0358698540778969E-2</v>
      </c>
      <c r="C609">
        <f t="shared" ca="1" si="28"/>
        <v>0.24928596086951499</v>
      </c>
      <c r="D609" s="9">
        <f ca="1">Assumptions!B$3*(1+B609)^24*(1-C609/12)^24</f>
        <v>712299.46762006939</v>
      </c>
      <c r="E609" s="9">
        <f t="shared" ca="1" si="29"/>
        <v>8547593.6114408337</v>
      </c>
    </row>
    <row r="610" spans="1:5" x14ac:dyDescent="0.35">
      <c r="A610">
        <v>597</v>
      </c>
      <c r="B610">
        <f t="shared" ca="1" si="27"/>
        <v>1.9335801335261742E-2</v>
      </c>
      <c r="C610">
        <f t="shared" ca="1" si="28"/>
        <v>0.3057413946268841</v>
      </c>
      <c r="D610" s="9">
        <f ca="1">Assumptions!B$3*(1+B610)^24*(1-C610/12)^24</f>
        <v>388763.32416896726</v>
      </c>
      <c r="E610" s="9">
        <f t="shared" ca="1" si="29"/>
        <v>4665159.8900276069</v>
      </c>
    </row>
    <row r="611" spans="1:5" x14ac:dyDescent="0.35">
      <c r="A611">
        <v>598</v>
      </c>
      <c r="B611">
        <f t="shared" ca="1" si="27"/>
        <v>3.7560632734262259E-2</v>
      </c>
      <c r="C611">
        <f t="shared" ca="1" si="28"/>
        <v>0.23727796527651746</v>
      </c>
      <c r="D611" s="9">
        <f ca="1">Assumptions!B$3*(1+B611)^24*(1-C611/12)^24</f>
        <v>684285.98404158361</v>
      </c>
      <c r="E611" s="9">
        <f t="shared" ca="1" si="29"/>
        <v>8211431.8084990028</v>
      </c>
    </row>
    <row r="612" spans="1:5" x14ac:dyDescent="0.35">
      <c r="A612">
        <v>599</v>
      </c>
      <c r="B612">
        <f t="shared" ca="1" si="27"/>
        <v>3.6832934185926328E-2</v>
      </c>
      <c r="C612">
        <f t="shared" ca="1" si="28"/>
        <v>0.28330422868007726</v>
      </c>
      <c r="D612" s="9">
        <f ca="1">Assumptions!B$3*(1+B612)^24*(1-C612/12)^24</f>
        <v>612435.65432582831</v>
      </c>
      <c r="E612" s="9">
        <f t="shared" ca="1" si="29"/>
        <v>7349227.8519099392</v>
      </c>
    </row>
    <row r="613" spans="1:5" x14ac:dyDescent="0.35">
      <c r="A613">
        <v>600</v>
      </c>
      <c r="B613">
        <f t="shared" ca="1" si="27"/>
        <v>2.6673984935414317E-2</v>
      </c>
      <c r="C613">
        <f t="shared" ca="1" si="28"/>
        <v>0.23298236645096615</v>
      </c>
      <c r="D613" s="9">
        <f ca="1">Assumptions!B$3*(1+B613)^24*(1-C613/12)^24</f>
        <v>535921.34615393518</v>
      </c>
      <c r="E613" s="9">
        <f t="shared" ca="1" si="29"/>
        <v>6431056.1538472222</v>
      </c>
    </row>
    <row r="614" spans="1:5" x14ac:dyDescent="0.35">
      <c r="A614">
        <v>601</v>
      </c>
      <c r="B614">
        <f t="shared" ca="1" si="27"/>
        <v>3.6449189256795626E-2</v>
      </c>
      <c r="C614">
        <f t="shared" ca="1" si="28"/>
        <v>0.22417810558517429</v>
      </c>
      <c r="D614" s="9">
        <f ca="1">Assumptions!B$3*(1+B614)^24*(1-C614/12)^24</f>
        <v>684964.15419341985</v>
      </c>
      <c r="E614" s="9">
        <f t="shared" ca="1" si="29"/>
        <v>8219569.8503210377</v>
      </c>
    </row>
    <row r="615" spans="1:5" x14ac:dyDescent="0.35">
      <c r="A615">
        <v>602</v>
      </c>
      <c r="B615">
        <f t="shared" ca="1" si="27"/>
        <v>3.2433009974829737E-2</v>
      </c>
      <c r="C615">
        <f t="shared" ca="1" si="28"/>
        <v>0.28592010045494104</v>
      </c>
      <c r="D615" s="9">
        <f ca="1">Assumptions!B$3*(1+B615)^24*(1-C615/12)^24</f>
        <v>550056.75542508555</v>
      </c>
      <c r="E615" s="9">
        <f t="shared" ca="1" si="29"/>
        <v>6600681.0651010266</v>
      </c>
    </row>
    <row r="616" spans="1:5" x14ac:dyDescent="0.35">
      <c r="A616">
        <v>603</v>
      </c>
      <c r="B616">
        <f t="shared" ca="1" si="27"/>
        <v>2.4191343500828029E-2</v>
      </c>
      <c r="C616">
        <f t="shared" ca="1" si="28"/>
        <v>0.38794975698262157</v>
      </c>
      <c r="D616" s="9">
        <f ca="1">Assumptions!B$3*(1+B616)^24*(1-C616/12)^24</f>
        <v>367863.0301341645</v>
      </c>
      <c r="E616" s="9">
        <f t="shared" ca="1" si="29"/>
        <v>4414356.3616099739</v>
      </c>
    </row>
    <row r="617" spans="1:5" x14ac:dyDescent="0.35">
      <c r="A617">
        <v>604</v>
      </c>
      <c r="B617">
        <f t="shared" ca="1" si="27"/>
        <v>1.9981267044196453E-2</v>
      </c>
      <c r="C617">
        <f t="shared" ca="1" si="28"/>
        <v>0.23319197179503823</v>
      </c>
      <c r="D617" s="9">
        <f ca="1">Assumptions!B$3*(1+B617)^24*(1-C617/12)^24</f>
        <v>457874.75845284871</v>
      </c>
      <c r="E617" s="9">
        <f t="shared" ca="1" si="29"/>
        <v>5494497.1014341842</v>
      </c>
    </row>
    <row r="618" spans="1:5" x14ac:dyDescent="0.35">
      <c r="A618">
        <v>605</v>
      </c>
      <c r="B618">
        <f t="shared" ca="1" si="27"/>
        <v>4.0709148784383697E-2</v>
      </c>
      <c r="C618">
        <f t="shared" ca="1" si="28"/>
        <v>0.25870302572539666</v>
      </c>
      <c r="D618" s="9">
        <f ca="1">Assumptions!B$3*(1+B618)^24*(1-C618/12)^24</f>
        <v>704395.64146144688</v>
      </c>
      <c r="E618" s="9">
        <f t="shared" ca="1" si="29"/>
        <v>8452747.6975373626</v>
      </c>
    </row>
    <row r="619" spans="1:5" x14ac:dyDescent="0.35">
      <c r="A619">
        <v>606</v>
      </c>
      <c r="B619">
        <f t="shared" ca="1" si="27"/>
        <v>1.6309374617948597E-2</v>
      </c>
      <c r="C619">
        <f t="shared" ca="1" si="28"/>
        <v>0.23762524985113648</v>
      </c>
      <c r="D619" s="9">
        <f ca="1">Assumptions!B$3*(1+B619)^24*(1-C619/12)^24</f>
        <v>416129.60895680758</v>
      </c>
      <c r="E619" s="9">
        <f t="shared" ca="1" si="29"/>
        <v>4993555.3074816912</v>
      </c>
    </row>
    <row r="620" spans="1:5" x14ac:dyDescent="0.35">
      <c r="A620">
        <v>607</v>
      </c>
      <c r="B620">
        <f t="shared" ca="1" si="27"/>
        <v>3.2244902259398696E-2</v>
      </c>
      <c r="C620">
        <f t="shared" ca="1" si="28"/>
        <v>0.300476849617693</v>
      </c>
      <c r="D620" s="9">
        <f ca="1">Assumptions!B$3*(1+B620)^24*(1-C620/12)^24</f>
        <v>531554.45566187263</v>
      </c>
      <c r="E620" s="9">
        <f t="shared" ca="1" si="29"/>
        <v>6378653.4679424716</v>
      </c>
    </row>
    <row r="621" spans="1:5" x14ac:dyDescent="0.35">
      <c r="A621">
        <v>608</v>
      </c>
      <c r="B621">
        <f t="shared" ca="1" si="27"/>
        <v>4.2785445600395405E-2</v>
      </c>
      <c r="C621">
        <f t="shared" ca="1" si="28"/>
        <v>0.17978048557602527</v>
      </c>
      <c r="D621" s="9">
        <f ca="1">Assumptions!B$3*(1+B621)^24*(1-C621/12)^24</f>
        <v>867796.79851786501</v>
      </c>
      <c r="E621" s="9">
        <f t="shared" ca="1" si="29"/>
        <v>10413561.58221438</v>
      </c>
    </row>
    <row r="622" spans="1:5" x14ac:dyDescent="0.35">
      <c r="A622">
        <v>609</v>
      </c>
      <c r="B622">
        <f t="shared" ca="1" si="27"/>
        <v>3.470656882615563E-2</v>
      </c>
      <c r="C622">
        <f t="shared" ca="1" si="28"/>
        <v>0.17749250003307954</v>
      </c>
      <c r="D622" s="9">
        <f ca="1">Assumptions!B$3*(1+B622)^24*(1-C622/12)^24</f>
        <v>723384.63335700415</v>
      </c>
      <c r="E622" s="9">
        <f t="shared" ca="1" si="29"/>
        <v>8680615.6002840493</v>
      </c>
    </row>
    <row r="623" spans="1:5" x14ac:dyDescent="0.35">
      <c r="A623">
        <v>610</v>
      </c>
      <c r="B623">
        <f t="shared" ca="1" si="27"/>
        <v>3.0318444551156058E-2</v>
      </c>
      <c r="C623">
        <f t="shared" ca="1" si="28"/>
        <v>0.23817445252453107</v>
      </c>
      <c r="D623" s="9">
        <f ca="1">Assumptions!B$3*(1+B623)^24*(1-C623/12)^24</f>
        <v>577344.41516630829</v>
      </c>
      <c r="E623" s="9">
        <f t="shared" ca="1" si="29"/>
        <v>6928132.9819956999</v>
      </c>
    </row>
    <row r="624" spans="1:5" x14ac:dyDescent="0.35">
      <c r="A624">
        <v>611</v>
      </c>
      <c r="B624">
        <f t="shared" ca="1" si="27"/>
        <v>4.6914718229961204E-2</v>
      </c>
      <c r="C624">
        <f t="shared" ca="1" si="28"/>
        <v>0.23384651856319466</v>
      </c>
      <c r="D624" s="9">
        <f ca="1">Assumptions!B$3*(1+B624)^24*(1-C624/12)^24</f>
        <v>854723.26224646973</v>
      </c>
      <c r="E624" s="9">
        <f t="shared" ca="1" si="29"/>
        <v>10256679.146957636</v>
      </c>
    </row>
    <row r="625" spans="1:5" x14ac:dyDescent="0.35">
      <c r="A625">
        <v>612</v>
      </c>
      <c r="B625">
        <f t="shared" ca="1" si="27"/>
        <v>2.3234292754486879E-2</v>
      </c>
      <c r="C625">
        <f t="shared" ca="1" si="28"/>
        <v>0.45444318090114072</v>
      </c>
      <c r="D625" s="9">
        <f ca="1">Assumptions!B$3*(1+B625)^24*(1-C625/12)^24</f>
        <v>313390.07889340381</v>
      </c>
      <c r="E625" s="9">
        <f t="shared" ca="1" si="29"/>
        <v>3760680.946720846</v>
      </c>
    </row>
    <row r="626" spans="1:5" x14ac:dyDescent="0.35">
      <c r="A626">
        <v>613</v>
      </c>
      <c r="B626">
        <f t="shared" ca="1" si="27"/>
        <v>4.2888750443415419E-2</v>
      </c>
      <c r="C626">
        <f t="shared" ca="1" si="28"/>
        <v>0.1896191884244155</v>
      </c>
      <c r="D626" s="9">
        <f ca="1">Assumptions!B$3*(1+B626)^24*(1-C626/12)^24</f>
        <v>852650.76778363716</v>
      </c>
      <c r="E626" s="9">
        <f t="shared" ca="1" si="29"/>
        <v>10231809.213403646</v>
      </c>
    </row>
    <row r="627" spans="1:5" x14ac:dyDescent="0.35">
      <c r="A627">
        <v>614</v>
      </c>
      <c r="B627">
        <f t="shared" ca="1" si="27"/>
        <v>2.1662980546731991E-2</v>
      </c>
      <c r="C627">
        <f t="shared" ca="1" si="28"/>
        <v>0.20679681189837343</v>
      </c>
      <c r="D627" s="9">
        <f ca="1">Assumptions!B$3*(1+B627)^24*(1-C627/12)^24</f>
        <v>502657.87933288014</v>
      </c>
      <c r="E627" s="9">
        <f t="shared" ca="1" si="29"/>
        <v>6031894.5519945621</v>
      </c>
    </row>
    <row r="628" spans="1:5" x14ac:dyDescent="0.35">
      <c r="A628">
        <v>615</v>
      </c>
      <c r="B628">
        <f t="shared" ca="1" si="27"/>
        <v>3.4892889176111379E-2</v>
      </c>
      <c r="C628">
        <f t="shared" ca="1" si="28"/>
        <v>0.23509583184888797</v>
      </c>
      <c r="D628" s="9">
        <f ca="1">Assumptions!B$3*(1+B628)^24*(1-C628/12)^24</f>
        <v>646155.57730732427</v>
      </c>
      <c r="E628" s="9">
        <f t="shared" ca="1" si="29"/>
        <v>7753866.9276878908</v>
      </c>
    </row>
    <row r="629" spans="1:5" x14ac:dyDescent="0.35">
      <c r="A629">
        <v>616</v>
      </c>
      <c r="B629">
        <f t="shared" ca="1" si="27"/>
        <v>5.0850415977750661E-2</v>
      </c>
      <c r="C629">
        <f t="shared" ca="1" si="28"/>
        <v>0.20010503952666503</v>
      </c>
      <c r="D629" s="9">
        <f ca="1">Assumptions!B$3*(1+B629)^24*(1-C629/12)^24</f>
        <v>1001804.4976521946</v>
      </c>
      <c r="E629" s="9">
        <f t="shared" ca="1" si="29"/>
        <v>12021653.971826335</v>
      </c>
    </row>
    <row r="630" spans="1:5" x14ac:dyDescent="0.35">
      <c r="A630">
        <v>617</v>
      </c>
      <c r="B630">
        <f t="shared" ca="1" si="27"/>
        <v>2.7379966055426846E-2</v>
      </c>
      <c r="C630">
        <f t="shared" ca="1" si="28"/>
        <v>0.26185448959731089</v>
      </c>
      <c r="D630" s="9">
        <f ca="1">Assumptions!B$3*(1+B630)^24*(1-C630/12)^24</f>
        <v>513641.29420987965</v>
      </c>
      <c r="E630" s="9">
        <f t="shared" ca="1" si="29"/>
        <v>6163695.530518556</v>
      </c>
    </row>
    <row r="631" spans="1:5" x14ac:dyDescent="0.35">
      <c r="A631">
        <v>618</v>
      </c>
      <c r="B631">
        <f t="shared" ca="1" si="27"/>
        <v>2.1554101117615673E-2</v>
      </c>
      <c r="C631">
        <f t="shared" ca="1" si="28"/>
        <v>0.27563216439246185</v>
      </c>
      <c r="D631" s="9">
        <f ca="1">Assumptions!B$3*(1+B631)^24*(1-C631/12)^24</f>
        <v>435657.6469002582</v>
      </c>
      <c r="E631" s="9">
        <f t="shared" ca="1" si="29"/>
        <v>5227891.7628030982</v>
      </c>
    </row>
    <row r="632" spans="1:5" x14ac:dyDescent="0.35">
      <c r="A632">
        <v>619</v>
      </c>
      <c r="B632">
        <f t="shared" ca="1" si="27"/>
        <v>4.7022511242356457E-2</v>
      </c>
      <c r="C632">
        <f t="shared" ca="1" si="28"/>
        <v>0.21338016253066966</v>
      </c>
      <c r="D632" s="9">
        <f ca="1">Assumptions!B$3*(1+B632)^24*(1-C632/12)^24</f>
        <v>893332.35093365144</v>
      </c>
      <c r="E632" s="9">
        <f t="shared" ca="1" si="29"/>
        <v>10719988.211203817</v>
      </c>
    </row>
    <row r="633" spans="1:5" x14ac:dyDescent="0.35">
      <c r="A633">
        <v>620</v>
      </c>
      <c r="B633">
        <f t="shared" ca="1" si="27"/>
        <v>1.7995873418988905E-2</v>
      </c>
      <c r="C633">
        <f t="shared" ca="1" si="28"/>
        <v>0.23937940520466805</v>
      </c>
      <c r="D633" s="9">
        <f ca="1">Assumptions!B$3*(1+B633)^24*(1-C633/12)^24</f>
        <v>431475.50319453049</v>
      </c>
      <c r="E633" s="9">
        <f t="shared" ca="1" si="29"/>
        <v>5177706.0383343659</v>
      </c>
    </row>
    <row r="634" spans="1:5" x14ac:dyDescent="0.35">
      <c r="A634">
        <v>621</v>
      </c>
      <c r="B634">
        <f t="shared" ca="1" si="27"/>
        <v>3.2829732193022404E-2</v>
      </c>
      <c r="C634">
        <f t="shared" ca="1" si="28"/>
        <v>0.28009438313914048</v>
      </c>
      <c r="D634" s="9">
        <f ca="1">Assumptions!B$3*(1+B634)^24*(1-C634/12)^24</f>
        <v>561816.21702036366</v>
      </c>
      <c r="E634" s="9">
        <f t="shared" ca="1" si="29"/>
        <v>6741794.6042443644</v>
      </c>
    </row>
    <row r="635" spans="1:5" x14ac:dyDescent="0.35">
      <c r="A635">
        <v>622</v>
      </c>
      <c r="B635">
        <f t="shared" ca="1" si="27"/>
        <v>3.3662276936258215E-2</v>
      </c>
      <c r="C635">
        <f t="shared" ca="1" si="28"/>
        <v>0.21455955801684462</v>
      </c>
      <c r="D635" s="9">
        <f ca="1">Assumptions!B$3*(1+B635)^24*(1-C635/12)^24</f>
        <v>654807.43959460966</v>
      </c>
      <c r="E635" s="9">
        <f t="shared" ca="1" si="29"/>
        <v>7857689.275135316</v>
      </c>
    </row>
    <row r="636" spans="1:5" x14ac:dyDescent="0.35">
      <c r="A636">
        <v>623</v>
      </c>
      <c r="B636">
        <f t="shared" ca="1" si="27"/>
        <v>2.3116883631106866E-2</v>
      </c>
      <c r="C636">
        <f t="shared" ca="1" si="28"/>
        <v>0.26839562587071564</v>
      </c>
      <c r="D636" s="9">
        <f ca="1">Assumptions!B$3*(1+B636)^24*(1-C636/12)^24</f>
        <v>458680.01812472002</v>
      </c>
      <c r="E636" s="9">
        <f t="shared" ca="1" si="29"/>
        <v>5504160.21749664</v>
      </c>
    </row>
    <row r="637" spans="1:5" x14ac:dyDescent="0.35">
      <c r="A637">
        <v>624</v>
      </c>
      <c r="B637">
        <f t="shared" ca="1" si="27"/>
        <v>1.0030736993784956E-2</v>
      </c>
      <c r="C637">
        <f t="shared" ca="1" si="28"/>
        <v>0.21344923048464798</v>
      </c>
      <c r="D637" s="9">
        <f ca="1">Assumptions!B$3*(1+B637)^24*(1-C637/12)^24</f>
        <v>376736.49267502187</v>
      </c>
      <c r="E637" s="9">
        <f t="shared" ca="1" si="29"/>
        <v>4520837.9121002629</v>
      </c>
    </row>
    <row r="638" spans="1:5" x14ac:dyDescent="0.35">
      <c r="A638">
        <v>625</v>
      </c>
      <c r="B638">
        <f t="shared" ca="1" si="27"/>
        <v>1.6886637830583483E-2</v>
      </c>
      <c r="C638">
        <f t="shared" ca="1" si="28"/>
        <v>0.39460578943346702</v>
      </c>
      <c r="D638" s="9">
        <f ca="1">Assumptions!B$3*(1+B638)^24*(1-C638/12)^24</f>
        <v>305565.61266801832</v>
      </c>
      <c r="E638" s="9">
        <f t="shared" ca="1" si="29"/>
        <v>3666787.3520162199</v>
      </c>
    </row>
    <row r="639" spans="1:5" x14ac:dyDescent="0.35">
      <c r="A639">
        <v>626</v>
      </c>
      <c r="B639">
        <f t="shared" ca="1" si="27"/>
        <v>3.4167151905165831E-2</v>
      </c>
      <c r="C639">
        <f t="shared" ca="1" si="28"/>
        <v>0.32329041790220625</v>
      </c>
      <c r="D639" s="9">
        <f ca="1">Assumptions!B$3*(1+B639)^24*(1-C639/12)^24</f>
        <v>530389.85060119582</v>
      </c>
      <c r="E639" s="9">
        <f t="shared" ca="1" si="29"/>
        <v>6364678.2072143499</v>
      </c>
    </row>
    <row r="640" spans="1:5" x14ac:dyDescent="0.35">
      <c r="A640">
        <v>627</v>
      </c>
      <c r="B640">
        <f t="shared" ca="1" si="27"/>
        <v>2.7220986806809667E-2</v>
      </c>
      <c r="C640">
        <f t="shared" ca="1" si="28"/>
        <v>0.28921982110484734</v>
      </c>
      <c r="D640" s="9">
        <f ca="1">Assumptions!B$3*(1+B640)^24*(1-C640/12)^24</f>
        <v>483859.2841243493</v>
      </c>
      <c r="E640" s="9">
        <f t="shared" ca="1" si="29"/>
        <v>5806311.4094921919</v>
      </c>
    </row>
    <row r="641" spans="1:5" x14ac:dyDescent="0.35">
      <c r="A641">
        <v>628</v>
      </c>
      <c r="B641">
        <f t="shared" ca="1" si="27"/>
        <v>2.1569363021654145E-2</v>
      </c>
      <c r="C641">
        <f t="shared" ca="1" si="28"/>
        <v>0.32258827759903658</v>
      </c>
      <c r="D641" s="9">
        <f ca="1">Assumptions!B$3*(1+B641)^24*(1-C641/12)^24</f>
        <v>395797.31091146404</v>
      </c>
      <c r="E641" s="9">
        <f t="shared" ca="1" si="29"/>
        <v>4749567.7309375685</v>
      </c>
    </row>
    <row r="642" spans="1:5" x14ac:dyDescent="0.35">
      <c r="A642">
        <v>629</v>
      </c>
      <c r="B642">
        <f t="shared" ca="1" si="27"/>
        <v>4.8072110049728167E-2</v>
      </c>
      <c r="C642">
        <f t="shared" ca="1" si="28"/>
        <v>0.27713280863046319</v>
      </c>
      <c r="D642" s="9">
        <f ca="1">Assumptions!B$3*(1+B642)^24*(1-C642/12)^24</f>
        <v>803389.57582064194</v>
      </c>
      <c r="E642" s="9">
        <f t="shared" ca="1" si="29"/>
        <v>9640674.9098477028</v>
      </c>
    </row>
    <row r="643" spans="1:5" x14ac:dyDescent="0.35">
      <c r="A643">
        <v>630</v>
      </c>
      <c r="B643">
        <f t="shared" ca="1" si="27"/>
        <v>2.9432810020604123E-2</v>
      </c>
      <c r="C643">
        <f t="shared" ca="1" si="28"/>
        <v>0.22338071767410023</v>
      </c>
      <c r="D643" s="9">
        <f ca="1">Assumptions!B$3*(1+B643)^24*(1-C643/12)^24</f>
        <v>582872.22771418805</v>
      </c>
      <c r="E643" s="9">
        <f t="shared" ca="1" si="29"/>
        <v>6994466.732570257</v>
      </c>
    </row>
    <row r="644" spans="1:5" x14ac:dyDescent="0.35">
      <c r="A644">
        <v>631</v>
      </c>
      <c r="B644">
        <f t="shared" ca="1" si="27"/>
        <v>3.5947110574526195E-2</v>
      </c>
      <c r="C644">
        <f t="shared" ca="1" si="28"/>
        <v>0.28535568517911475</v>
      </c>
      <c r="D644" s="9">
        <f ca="1">Assumptions!B$3*(1+B644)^24*(1-C644/12)^24</f>
        <v>597484.35919437872</v>
      </c>
      <c r="E644" s="9">
        <f t="shared" ca="1" si="29"/>
        <v>7169812.3103325441</v>
      </c>
    </row>
    <row r="645" spans="1:5" x14ac:dyDescent="0.35">
      <c r="A645">
        <v>632</v>
      </c>
      <c r="B645">
        <f t="shared" ca="1" si="27"/>
        <v>3.5293891676307934E-2</v>
      </c>
      <c r="C645">
        <f t="shared" ca="1" si="28"/>
        <v>0.33576977826891374</v>
      </c>
      <c r="D645" s="9">
        <f ca="1">Assumptions!B$3*(1+B645)^24*(1-C645/12)^24</f>
        <v>530639.5334250232</v>
      </c>
      <c r="E645" s="9">
        <f t="shared" ca="1" si="29"/>
        <v>6367674.4011002779</v>
      </c>
    </row>
    <row r="646" spans="1:5" x14ac:dyDescent="0.35">
      <c r="A646">
        <v>633</v>
      </c>
      <c r="B646">
        <f t="shared" ca="1" si="27"/>
        <v>5.5526109649382094E-2</v>
      </c>
      <c r="C646">
        <f t="shared" ca="1" si="28"/>
        <v>0.3301327415130112</v>
      </c>
      <c r="D646" s="9">
        <f ca="1">Assumptions!B$3*(1+B646)^24*(1-C646/12)^24</f>
        <v>854207.72101588559</v>
      </c>
      <c r="E646" s="9">
        <f t="shared" ca="1" si="29"/>
        <v>10250492.652190628</v>
      </c>
    </row>
    <row r="647" spans="1:5" x14ac:dyDescent="0.35">
      <c r="A647">
        <v>634</v>
      </c>
      <c r="B647">
        <f t="shared" ca="1" si="27"/>
        <v>3.5188369661705035E-2</v>
      </c>
      <c r="C647">
        <f t="shared" ca="1" si="28"/>
        <v>0.21879276756959895</v>
      </c>
      <c r="D647" s="9">
        <f ca="1">Assumptions!B$3*(1+B647)^24*(1-C647/12)^24</f>
        <v>672583.60784374177</v>
      </c>
      <c r="E647" s="9">
        <f t="shared" ca="1" si="29"/>
        <v>8071003.2941249013</v>
      </c>
    </row>
    <row r="648" spans="1:5" x14ac:dyDescent="0.35">
      <c r="A648">
        <v>635</v>
      </c>
      <c r="B648">
        <f t="shared" ca="1" si="27"/>
        <v>4.2790999579623769E-2</v>
      </c>
      <c r="C648">
        <f t="shared" ca="1" si="28"/>
        <v>0.2937985716414675</v>
      </c>
      <c r="D648" s="9">
        <f ca="1">Assumptions!B$3*(1+B648)^24*(1-C648/12)^24</f>
        <v>687771.81880967959</v>
      </c>
      <c r="E648" s="9">
        <f t="shared" ca="1" si="29"/>
        <v>8253261.8257161546</v>
      </c>
    </row>
    <row r="649" spans="1:5" x14ac:dyDescent="0.35">
      <c r="A649">
        <v>636</v>
      </c>
      <c r="B649">
        <f t="shared" ca="1" si="27"/>
        <v>2.3413936619289179E-2</v>
      </c>
      <c r="C649">
        <f t="shared" ca="1" si="28"/>
        <v>0.27668213195434072</v>
      </c>
      <c r="D649" s="9">
        <f ca="1">Assumptions!B$3*(1+B649)^24*(1-C649/12)^24</f>
        <v>454120.17101167241</v>
      </c>
      <c r="E649" s="9">
        <f t="shared" ca="1" si="29"/>
        <v>5449442.0521400692</v>
      </c>
    </row>
    <row r="650" spans="1:5" x14ac:dyDescent="0.35">
      <c r="A650">
        <v>637</v>
      </c>
      <c r="B650">
        <f t="shared" ca="1" si="27"/>
        <v>3.6674699853654194E-2</v>
      </c>
      <c r="C650">
        <f t="shared" ca="1" si="28"/>
        <v>0.28486991340874496</v>
      </c>
      <c r="D650" s="9">
        <f ca="1">Assumptions!B$3*(1+B650)^24*(1-C650/12)^24</f>
        <v>608242.46220691537</v>
      </c>
      <c r="E650" s="9">
        <f t="shared" ca="1" si="29"/>
        <v>7298909.546482984</v>
      </c>
    </row>
    <row r="651" spans="1:5" x14ac:dyDescent="0.35">
      <c r="A651">
        <v>638</v>
      </c>
      <c r="B651">
        <f t="shared" ca="1" si="27"/>
        <v>3.809647042656425E-2</v>
      </c>
      <c r="C651">
        <f t="shared" ca="1" si="28"/>
        <v>0.243182003923581</v>
      </c>
      <c r="D651" s="9">
        <f ca="1">Assumptions!B$3*(1+B651)^24*(1-C651/12)^24</f>
        <v>684520.09328690532</v>
      </c>
      <c r="E651" s="9">
        <f t="shared" ca="1" si="29"/>
        <v>8214241.1194428634</v>
      </c>
    </row>
    <row r="652" spans="1:5" x14ac:dyDescent="0.35">
      <c r="A652">
        <v>639</v>
      </c>
      <c r="B652">
        <f t="shared" ca="1" si="27"/>
        <v>3.7667178017520529E-2</v>
      </c>
      <c r="C652">
        <f t="shared" ca="1" si="28"/>
        <v>0.31416660302145727</v>
      </c>
      <c r="D652" s="9">
        <f ca="1">Assumptions!B$3*(1+B652)^24*(1-C652/12)^24</f>
        <v>586074.00800437923</v>
      </c>
      <c r="E652" s="9">
        <f t="shared" ca="1" si="29"/>
        <v>7032888.0960525507</v>
      </c>
    </row>
    <row r="653" spans="1:5" x14ac:dyDescent="0.35">
      <c r="A653">
        <v>640</v>
      </c>
      <c r="B653">
        <f t="shared" ca="1" si="27"/>
        <v>3.4328605601705628E-2</v>
      </c>
      <c r="C653">
        <f t="shared" ca="1" si="28"/>
        <v>0.32279497345993857</v>
      </c>
      <c r="D653" s="9">
        <f ca="1">Assumptions!B$3*(1+B653)^24*(1-C653/12)^24</f>
        <v>532923.12422954699</v>
      </c>
      <c r="E653" s="9">
        <f t="shared" ca="1" si="29"/>
        <v>6395077.4907545634</v>
      </c>
    </row>
    <row r="654" spans="1:5" x14ac:dyDescent="0.35">
      <c r="A654">
        <v>641</v>
      </c>
      <c r="B654">
        <f t="shared" ca="1" si="27"/>
        <v>3.7443812854674088E-2</v>
      </c>
      <c r="C654">
        <f t="shared" ca="1" si="28"/>
        <v>0.19984836084377128</v>
      </c>
      <c r="D654" s="9">
        <f ca="1">Assumptions!B$3*(1+B654)^24*(1-C654/12)^24</f>
        <v>736509.12429386191</v>
      </c>
      <c r="E654" s="9">
        <f t="shared" ca="1" si="29"/>
        <v>8838109.4915263429</v>
      </c>
    </row>
    <row r="655" spans="1:5" x14ac:dyDescent="0.35">
      <c r="A655">
        <v>642</v>
      </c>
      <c r="B655">
        <f t="shared" ca="1" si="27"/>
        <v>1.9817548330188423E-2</v>
      </c>
      <c r="C655">
        <f t="shared" ca="1" si="28"/>
        <v>0.35508735070416375</v>
      </c>
      <c r="D655" s="9">
        <f ca="1">Assumptions!B$3*(1+B655)^24*(1-C655/12)^24</f>
        <v>355250.87374584208</v>
      </c>
      <c r="E655" s="9">
        <f t="shared" ca="1" si="29"/>
        <v>4263010.4849501047</v>
      </c>
    </row>
    <row r="656" spans="1:5" x14ac:dyDescent="0.35">
      <c r="A656">
        <v>643</v>
      </c>
      <c r="B656">
        <f t="shared" ref="B656:B719" ca="1" si="30">_xlfn.NORM.INV(RAND(), $B$4, $B$5)</f>
        <v>2.3942302188946697E-2</v>
      </c>
      <c r="C656">
        <f t="shared" ref="C656:C719" ca="1" si="31">+_xlfn.NORM.INV(RAND(), $B$6, $B$7)</f>
        <v>0.33192219667667322</v>
      </c>
      <c r="D656" s="9">
        <f ca="1">Assumptions!B$3*(1+B656)^24*(1-C656/12)^24</f>
        <v>410507.61275491066</v>
      </c>
      <c r="E656" s="9">
        <f t="shared" ref="E656:E719" ca="1" si="32">D656*12</f>
        <v>4926091.3530589277</v>
      </c>
    </row>
    <row r="657" spans="1:5" x14ac:dyDescent="0.35">
      <c r="A657">
        <v>644</v>
      </c>
      <c r="B657">
        <f t="shared" ca="1" si="30"/>
        <v>4.4520869364238908E-2</v>
      </c>
      <c r="C657">
        <f t="shared" ca="1" si="31"/>
        <v>0.30162139341373251</v>
      </c>
      <c r="D657" s="9">
        <f ca="1">Assumptions!B$3*(1+B657)^24*(1-C657/12)^24</f>
        <v>704292.4562290078</v>
      </c>
      <c r="E657" s="9">
        <f t="shared" ca="1" si="32"/>
        <v>8451509.4747480936</v>
      </c>
    </row>
    <row r="658" spans="1:5" x14ac:dyDescent="0.35">
      <c r="A658">
        <v>645</v>
      </c>
      <c r="B658">
        <f t="shared" ca="1" si="30"/>
        <v>2.4724551542800489E-2</v>
      </c>
      <c r="C658">
        <f t="shared" ca="1" si="31"/>
        <v>0.33407196343643708</v>
      </c>
      <c r="D658" s="9">
        <f ca="1">Assumptions!B$3*(1+B658)^24*(1-C658/12)^24</f>
        <v>416255.90451317601</v>
      </c>
      <c r="E658" s="9">
        <f t="shared" ca="1" si="32"/>
        <v>4995070.8541581118</v>
      </c>
    </row>
    <row r="659" spans="1:5" x14ac:dyDescent="0.35">
      <c r="A659">
        <v>646</v>
      </c>
      <c r="B659">
        <f t="shared" ca="1" si="30"/>
        <v>4.0512942463559659E-2</v>
      </c>
      <c r="C659">
        <f t="shared" ca="1" si="31"/>
        <v>0.2518663127470977</v>
      </c>
      <c r="D659" s="9">
        <f ca="1">Assumptions!B$3*(1+B659)^24*(1-C659/12)^24</f>
        <v>711080.49934916431</v>
      </c>
      <c r="E659" s="9">
        <f t="shared" ca="1" si="32"/>
        <v>8532965.9921899717</v>
      </c>
    </row>
    <row r="660" spans="1:5" x14ac:dyDescent="0.35">
      <c r="A660">
        <v>647</v>
      </c>
      <c r="B660">
        <f t="shared" ca="1" si="30"/>
        <v>4.6489899816115191E-2</v>
      </c>
      <c r="C660">
        <f t="shared" ca="1" si="31"/>
        <v>0.21945792548952653</v>
      </c>
      <c r="D660" s="9">
        <f ca="1">Assumptions!B$3*(1+B660)^24*(1-C660/12)^24</f>
        <v>871632.7762262614</v>
      </c>
      <c r="E660" s="9">
        <f t="shared" ca="1" si="32"/>
        <v>10459593.314715136</v>
      </c>
    </row>
    <row r="661" spans="1:5" x14ac:dyDescent="0.35">
      <c r="A661">
        <v>648</v>
      </c>
      <c r="B661">
        <f t="shared" ca="1" si="30"/>
        <v>2.0824216432159176E-2</v>
      </c>
      <c r="C661">
        <f t="shared" ca="1" si="31"/>
        <v>0.23809862061023646</v>
      </c>
      <c r="D661" s="9">
        <f ca="1">Assumptions!B$3*(1+B661)^24*(1-C661/12)^24</f>
        <v>462391.57965623477</v>
      </c>
      <c r="E661" s="9">
        <f t="shared" ca="1" si="32"/>
        <v>5548698.9558748174</v>
      </c>
    </row>
    <row r="662" spans="1:5" x14ac:dyDescent="0.35">
      <c r="A662">
        <v>649</v>
      </c>
      <c r="B662">
        <f t="shared" ca="1" si="30"/>
        <v>1.3545853030501941E-2</v>
      </c>
      <c r="C662">
        <f t="shared" ca="1" si="31"/>
        <v>0.302631184866334</v>
      </c>
      <c r="D662" s="9">
        <f ca="1">Assumptions!B$3*(1+B662)^24*(1-C662/12)^24</f>
        <v>341258.90902857721</v>
      </c>
      <c r="E662" s="9">
        <f t="shared" ca="1" si="32"/>
        <v>4095106.9083429268</v>
      </c>
    </row>
    <row r="663" spans="1:5" x14ac:dyDescent="0.35">
      <c r="A663">
        <v>650</v>
      </c>
      <c r="B663">
        <f t="shared" ca="1" si="30"/>
        <v>4.1663925369023164E-2</v>
      </c>
      <c r="C663">
        <f t="shared" ca="1" si="31"/>
        <v>0.20040666445962269</v>
      </c>
      <c r="D663" s="9">
        <f ca="1">Assumptions!B$3*(1+B663)^24*(1-C663/12)^24</f>
        <v>810957.1522481814</v>
      </c>
      <c r="E663" s="9">
        <f t="shared" ca="1" si="32"/>
        <v>9731485.8269781768</v>
      </c>
    </row>
    <row r="664" spans="1:5" x14ac:dyDescent="0.35">
      <c r="A664">
        <v>651</v>
      </c>
      <c r="B664">
        <f t="shared" ca="1" si="30"/>
        <v>2.0968963161964001E-2</v>
      </c>
      <c r="C664">
        <f t="shared" ca="1" si="31"/>
        <v>0.3685020152285251</v>
      </c>
      <c r="D664" s="9">
        <f ca="1">Assumptions!B$3*(1+B664)^24*(1-C664/12)^24</f>
        <v>355044.28617456189</v>
      </c>
      <c r="E664" s="9">
        <f t="shared" ca="1" si="32"/>
        <v>4260531.4340947429</v>
      </c>
    </row>
    <row r="665" spans="1:5" x14ac:dyDescent="0.35">
      <c r="A665">
        <v>652</v>
      </c>
      <c r="B665">
        <f t="shared" ca="1" si="30"/>
        <v>4.6512795551611863E-2</v>
      </c>
      <c r="C665">
        <f t="shared" ca="1" si="31"/>
        <v>0.20690644505491293</v>
      </c>
      <c r="D665" s="9">
        <f ca="1">Assumptions!B$3*(1+B665)^24*(1-C665/12)^24</f>
        <v>894665.83112066763</v>
      </c>
      <c r="E665" s="9">
        <f t="shared" ca="1" si="32"/>
        <v>10735989.973448012</v>
      </c>
    </row>
    <row r="666" spans="1:5" x14ac:dyDescent="0.35">
      <c r="A666">
        <v>653</v>
      </c>
      <c r="B666">
        <f t="shared" ca="1" si="30"/>
        <v>3.0760051006538652E-2</v>
      </c>
      <c r="C666">
        <f t="shared" ca="1" si="31"/>
        <v>0.2999967175305181</v>
      </c>
      <c r="D666" s="9">
        <f ca="1">Assumptions!B$3*(1+B666)^24*(1-C666/12)^24</f>
        <v>514009.87092623865</v>
      </c>
      <c r="E666" s="9">
        <f t="shared" ca="1" si="32"/>
        <v>6168118.4511148641</v>
      </c>
    </row>
    <row r="667" spans="1:5" x14ac:dyDescent="0.35">
      <c r="A667">
        <v>654</v>
      </c>
      <c r="B667">
        <f t="shared" ca="1" si="30"/>
        <v>3.4321197914928707E-2</v>
      </c>
      <c r="C667">
        <f t="shared" ca="1" si="31"/>
        <v>0.20109267330430688</v>
      </c>
      <c r="D667" s="9">
        <f ca="1">Assumptions!B$3*(1+B667)^24*(1-C667/12)^24</f>
        <v>683375.08994160604</v>
      </c>
      <c r="E667" s="9">
        <f t="shared" ca="1" si="32"/>
        <v>8200501.079299273</v>
      </c>
    </row>
    <row r="668" spans="1:5" x14ac:dyDescent="0.35">
      <c r="A668">
        <v>655</v>
      </c>
      <c r="B668">
        <f t="shared" ca="1" si="30"/>
        <v>2.650433383407803E-2</v>
      </c>
      <c r="C668">
        <f t="shared" ca="1" si="31"/>
        <v>0.214551744665749</v>
      </c>
      <c r="D668" s="9">
        <f ca="1">Assumptions!B$3*(1+B668)^24*(1-C668/12)^24</f>
        <v>554231.74519141344</v>
      </c>
      <c r="E668" s="9">
        <f t="shared" ca="1" si="32"/>
        <v>6650780.9422969613</v>
      </c>
    </row>
    <row r="669" spans="1:5" x14ac:dyDescent="0.35">
      <c r="A669">
        <v>656</v>
      </c>
      <c r="B669">
        <f t="shared" ca="1" si="30"/>
        <v>2.7195500751456953E-2</v>
      </c>
      <c r="C669">
        <f t="shared" ca="1" si="31"/>
        <v>0.38305317489869939</v>
      </c>
      <c r="D669" s="9">
        <f ca="1">Assumptions!B$3*(1+B669)^24*(1-C669/12)^24</f>
        <v>398665.46043020446</v>
      </c>
      <c r="E669" s="9">
        <f t="shared" ca="1" si="32"/>
        <v>4783985.5251624538</v>
      </c>
    </row>
    <row r="670" spans="1:5" x14ac:dyDescent="0.35">
      <c r="A670">
        <v>657</v>
      </c>
      <c r="B670">
        <f t="shared" ca="1" si="30"/>
        <v>3.5979531689598221E-2</v>
      </c>
      <c r="C670">
        <f t="shared" ca="1" si="31"/>
        <v>0.35771704473035709</v>
      </c>
      <c r="D670" s="9">
        <f ca="1">Assumptions!B$3*(1+B670)^24*(1-C670/12)^24</f>
        <v>515311.4317462974</v>
      </c>
      <c r="E670" s="9">
        <f t="shared" ca="1" si="32"/>
        <v>6183737.1809555683</v>
      </c>
    </row>
    <row r="671" spans="1:5" x14ac:dyDescent="0.35">
      <c r="A671">
        <v>658</v>
      </c>
      <c r="B671">
        <f t="shared" ca="1" si="30"/>
        <v>4.3268364271840005E-3</v>
      </c>
      <c r="C671">
        <f t="shared" ca="1" si="31"/>
        <v>0.22709180198423093</v>
      </c>
      <c r="D671" s="9">
        <f ca="1">Assumptions!B$3*(1+B671)^24*(1-C671/12)^24</f>
        <v>319843.68087346811</v>
      </c>
      <c r="E671" s="9">
        <f t="shared" ca="1" si="32"/>
        <v>3838124.1704816176</v>
      </c>
    </row>
    <row r="672" spans="1:5" x14ac:dyDescent="0.35">
      <c r="A672">
        <v>659</v>
      </c>
      <c r="B672">
        <f t="shared" ca="1" si="30"/>
        <v>4.4999063034246931E-2</v>
      </c>
      <c r="C672">
        <f t="shared" ca="1" si="31"/>
        <v>0.21251795879184612</v>
      </c>
      <c r="D672" s="9">
        <f ca="1">Assumptions!B$3*(1+B672)^24*(1-C672/12)^24</f>
        <v>854304.42578675051</v>
      </c>
      <c r="E672" s="9">
        <f t="shared" ca="1" si="32"/>
        <v>10251653.109441007</v>
      </c>
    </row>
    <row r="673" spans="1:5" x14ac:dyDescent="0.35">
      <c r="A673">
        <v>660</v>
      </c>
      <c r="B673">
        <f t="shared" ca="1" si="30"/>
        <v>2.8156740360618753E-2</v>
      </c>
      <c r="C673">
        <f t="shared" ca="1" si="31"/>
        <v>0.17452199215664083</v>
      </c>
      <c r="D673" s="9">
        <f ca="1">Assumptions!B$3*(1+B673)^24*(1-C673/12)^24</f>
        <v>624883.03668859159</v>
      </c>
      <c r="E673" s="9">
        <f t="shared" ca="1" si="32"/>
        <v>7498596.440263099</v>
      </c>
    </row>
    <row r="674" spans="1:5" x14ac:dyDescent="0.35">
      <c r="A674">
        <v>661</v>
      </c>
      <c r="B674">
        <f t="shared" ca="1" si="30"/>
        <v>3.527929036429267E-2</v>
      </c>
      <c r="C674">
        <f t="shared" ca="1" si="31"/>
        <v>0.21298238761247879</v>
      </c>
      <c r="D674" s="9">
        <f ca="1">Assumptions!B$3*(1+B674)^24*(1-C674/12)^24</f>
        <v>682026.09031006054</v>
      </c>
      <c r="E674" s="9">
        <f t="shared" ca="1" si="32"/>
        <v>8184313.0837207269</v>
      </c>
    </row>
    <row r="675" spans="1:5" x14ac:dyDescent="0.35">
      <c r="A675">
        <v>662</v>
      </c>
      <c r="B675">
        <f t="shared" ca="1" si="30"/>
        <v>3.396794648912814E-2</v>
      </c>
      <c r="C675">
        <f t="shared" ca="1" si="31"/>
        <v>0.2860194209424135</v>
      </c>
      <c r="D675" s="9">
        <f ca="1">Assumptions!B$3*(1+B675)^24*(1-C675/12)^24</f>
        <v>569906.72286009765</v>
      </c>
      <c r="E675" s="9">
        <f t="shared" ca="1" si="32"/>
        <v>6838880.6743211718</v>
      </c>
    </row>
    <row r="676" spans="1:5" x14ac:dyDescent="0.35">
      <c r="A676">
        <v>663</v>
      </c>
      <c r="B676">
        <f t="shared" ca="1" si="30"/>
        <v>3.6616853409397798E-2</v>
      </c>
      <c r="C676">
        <f t="shared" ca="1" si="31"/>
        <v>0.21430410631654165</v>
      </c>
      <c r="D676" s="9">
        <f ca="1">Assumptions!B$3*(1+B676)^24*(1-C676/12)^24</f>
        <v>701600.48582125152</v>
      </c>
      <c r="E676" s="9">
        <f t="shared" ca="1" si="32"/>
        <v>8419205.8298550174</v>
      </c>
    </row>
    <row r="677" spans="1:5" x14ac:dyDescent="0.35">
      <c r="A677">
        <v>664</v>
      </c>
      <c r="B677">
        <f t="shared" ca="1" si="30"/>
        <v>3.7342228069173838E-2</v>
      </c>
      <c r="C677">
        <f t="shared" ca="1" si="31"/>
        <v>0.31419657361678421</v>
      </c>
      <c r="D677" s="9">
        <f ca="1">Assumptions!B$3*(1+B677)^24*(1-C677/12)^24</f>
        <v>581649.27273755078</v>
      </c>
      <c r="E677" s="9">
        <f t="shared" ca="1" si="32"/>
        <v>6979791.2728506094</v>
      </c>
    </row>
    <row r="678" spans="1:5" x14ac:dyDescent="0.35">
      <c r="A678">
        <v>665</v>
      </c>
      <c r="B678">
        <f t="shared" ca="1" si="30"/>
        <v>3.1060325872243888E-2</v>
      </c>
      <c r="C678">
        <f t="shared" ca="1" si="31"/>
        <v>0.35373305312267866</v>
      </c>
      <c r="D678" s="9">
        <f ca="1">Assumptions!B$3*(1+B678)^24*(1-C678/12)^24</f>
        <v>463474.20436661207</v>
      </c>
      <c r="E678" s="9">
        <f t="shared" ca="1" si="32"/>
        <v>5561690.4523993451</v>
      </c>
    </row>
    <row r="679" spans="1:5" x14ac:dyDescent="0.35">
      <c r="A679">
        <v>666</v>
      </c>
      <c r="B679">
        <f t="shared" ca="1" si="30"/>
        <v>3.9524104207124183E-2</v>
      </c>
      <c r="C679">
        <f t="shared" ca="1" si="31"/>
        <v>0.23715585198067429</v>
      </c>
      <c r="D679" s="9">
        <f ca="1">Assumptions!B$3*(1+B679)^24*(1-C679/12)^24</f>
        <v>716228.73376941506</v>
      </c>
      <c r="E679" s="9">
        <f t="shared" ca="1" si="32"/>
        <v>8594744.8052329812</v>
      </c>
    </row>
    <row r="680" spans="1:5" x14ac:dyDescent="0.35">
      <c r="A680">
        <v>667</v>
      </c>
      <c r="B680">
        <f t="shared" ca="1" si="30"/>
        <v>2.9250908745929977E-2</v>
      </c>
      <c r="C680">
        <f t="shared" ca="1" si="31"/>
        <v>0.22844982785452325</v>
      </c>
      <c r="D680" s="9">
        <f ca="1">Assumptions!B$3*(1+B680)^24*(1-C680/12)^24</f>
        <v>574439.08764292812</v>
      </c>
      <c r="E680" s="9">
        <f t="shared" ca="1" si="32"/>
        <v>6893269.0517151374</v>
      </c>
    </row>
    <row r="681" spans="1:5" x14ac:dyDescent="0.35">
      <c r="A681">
        <v>668</v>
      </c>
      <c r="B681">
        <f t="shared" ca="1" si="30"/>
        <v>3.5262999680451781E-2</v>
      </c>
      <c r="C681">
        <f t="shared" ca="1" si="31"/>
        <v>0.36309947319682889</v>
      </c>
      <c r="D681" s="9">
        <f ca="1">Assumptions!B$3*(1+B681)^24*(1-C681/12)^24</f>
        <v>501231.46049397701</v>
      </c>
      <c r="E681" s="9">
        <f t="shared" ca="1" si="32"/>
        <v>6014777.5259277243</v>
      </c>
    </row>
    <row r="682" spans="1:5" x14ac:dyDescent="0.35">
      <c r="A682">
        <v>669</v>
      </c>
      <c r="B682">
        <f t="shared" ca="1" si="30"/>
        <v>3.5119323020031866E-2</v>
      </c>
      <c r="C682">
        <f t="shared" ca="1" si="31"/>
        <v>0.27890943749413566</v>
      </c>
      <c r="D682" s="9">
        <f ca="1">Assumptions!B$3*(1+B682)^24*(1-C682/12)^24</f>
        <v>593920.70993182156</v>
      </c>
      <c r="E682" s="9">
        <f t="shared" ca="1" si="32"/>
        <v>7127048.5191818587</v>
      </c>
    </row>
    <row r="683" spans="1:5" x14ac:dyDescent="0.35">
      <c r="A683">
        <v>670</v>
      </c>
      <c r="B683">
        <f t="shared" ca="1" si="30"/>
        <v>3.014213259165268E-2</v>
      </c>
      <c r="C683">
        <f t="shared" ca="1" si="31"/>
        <v>0.28950830829229018</v>
      </c>
      <c r="D683" s="9">
        <f ca="1">Assumptions!B$3*(1+B683)^24*(1-C683/12)^24</f>
        <v>517679.18421439355</v>
      </c>
      <c r="E683" s="9">
        <f t="shared" ca="1" si="32"/>
        <v>6212150.2105727224</v>
      </c>
    </row>
    <row r="684" spans="1:5" x14ac:dyDescent="0.35">
      <c r="A684">
        <v>671</v>
      </c>
      <c r="B684">
        <f t="shared" ca="1" si="30"/>
        <v>2.0550055966188949E-2</v>
      </c>
      <c r="C684">
        <f t="shared" ca="1" si="31"/>
        <v>0.32543592704164648</v>
      </c>
      <c r="D684" s="9">
        <f ca="1">Assumptions!B$3*(1+B684)^24*(1-C684/12)^24</f>
        <v>384171.89208997245</v>
      </c>
      <c r="E684" s="9">
        <f t="shared" ca="1" si="32"/>
        <v>4610062.7050796691</v>
      </c>
    </row>
    <row r="685" spans="1:5" x14ac:dyDescent="0.35">
      <c r="A685">
        <v>672</v>
      </c>
      <c r="B685">
        <f t="shared" ca="1" si="30"/>
        <v>3.8340939309782544E-2</v>
      </c>
      <c r="C685">
        <f t="shared" ca="1" si="31"/>
        <v>0.23433405934960733</v>
      </c>
      <c r="D685" s="9">
        <f ca="1">Assumptions!B$3*(1+B685)^24*(1-C685/12)^24</f>
        <v>700941.47230611672</v>
      </c>
      <c r="E685" s="9">
        <f t="shared" ca="1" si="32"/>
        <v>8411297.6676734015</v>
      </c>
    </row>
    <row r="686" spans="1:5" x14ac:dyDescent="0.35">
      <c r="A686">
        <v>673</v>
      </c>
      <c r="B686">
        <f t="shared" ca="1" si="30"/>
        <v>4.1729467273326687E-2</v>
      </c>
      <c r="C686">
        <f t="shared" ca="1" si="31"/>
        <v>0.26708240477506601</v>
      </c>
      <c r="D686" s="9">
        <f ca="1">Assumptions!B$3*(1+B686)^24*(1-C686/12)^24</f>
        <v>708906.96685661189</v>
      </c>
      <c r="E686" s="9">
        <f t="shared" ca="1" si="32"/>
        <v>8506883.6022793427</v>
      </c>
    </row>
    <row r="687" spans="1:5" x14ac:dyDescent="0.35">
      <c r="A687">
        <v>674</v>
      </c>
      <c r="B687">
        <f t="shared" ca="1" si="30"/>
        <v>2.4074401223157009E-2</v>
      </c>
      <c r="C687">
        <f t="shared" ca="1" si="31"/>
        <v>0.14254028579589162</v>
      </c>
      <c r="D687" s="9">
        <f ca="1">Assumptions!B$3*(1+B687)^24*(1-C687/12)^24</f>
        <v>606013.09107006434</v>
      </c>
      <c r="E687" s="9">
        <f t="shared" ca="1" si="32"/>
        <v>7272157.0928407721</v>
      </c>
    </row>
    <row r="688" spans="1:5" x14ac:dyDescent="0.35">
      <c r="A688">
        <v>675</v>
      </c>
      <c r="B688">
        <f t="shared" ca="1" si="30"/>
        <v>2.9933785859918474E-2</v>
      </c>
      <c r="C688">
        <f t="shared" ca="1" si="31"/>
        <v>0.32695324939799397</v>
      </c>
      <c r="D688" s="9">
        <f ca="1">Assumptions!B$3*(1+B688)^24*(1-C688/12)^24</f>
        <v>477057.4569766607</v>
      </c>
      <c r="E688" s="9">
        <f t="shared" ca="1" si="32"/>
        <v>5724689.4837199282</v>
      </c>
    </row>
    <row r="689" spans="1:5" x14ac:dyDescent="0.35">
      <c r="A689">
        <v>676</v>
      </c>
      <c r="B689">
        <f t="shared" ca="1" si="30"/>
        <v>4.35293465062613E-2</v>
      </c>
      <c r="C689">
        <f t="shared" ca="1" si="31"/>
        <v>0.25909039713968446</v>
      </c>
      <c r="D689" s="9">
        <f ca="1">Assumptions!B$3*(1+B689)^24*(1-C689/12)^24</f>
        <v>751069.01044405287</v>
      </c>
      <c r="E689" s="9">
        <f t="shared" ca="1" si="32"/>
        <v>9012828.1253286339</v>
      </c>
    </row>
    <row r="690" spans="1:5" x14ac:dyDescent="0.35">
      <c r="A690">
        <v>677</v>
      </c>
      <c r="B690">
        <f t="shared" ca="1" si="30"/>
        <v>2.6847064846059251E-2</v>
      </c>
      <c r="C690">
        <f t="shared" ca="1" si="31"/>
        <v>0.33236604071354275</v>
      </c>
      <c r="D690" s="9">
        <f ca="1">Assumptions!B$3*(1+B690)^24*(1-C690/12)^24</f>
        <v>438986.79700298741</v>
      </c>
      <c r="E690" s="9">
        <f t="shared" ca="1" si="32"/>
        <v>5267841.5640358487</v>
      </c>
    </row>
    <row r="691" spans="1:5" x14ac:dyDescent="0.35">
      <c r="A691">
        <v>678</v>
      </c>
      <c r="B691">
        <f t="shared" ca="1" si="30"/>
        <v>2.7211450993538194E-2</v>
      </c>
      <c r="C691">
        <f t="shared" ca="1" si="31"/>
        <v>0.23376047401220013</v>
      </c>
      <c r="D691" s="9">
        <f ca="1">Assumptions!B$3*(1+B691)^24*(1-C691/12)^24</f>
        <v>541834.76457694173</v>
      </c>
      <c r="E691" s="9">
        <f t="shared" ca="1" si="32"/>
        <v>6502017.1749233007</v>
      </c>
    </row>
    <row r="692" spans="1:5" x14ac:dyDescent="0.35">
      <c r="A692">
        <v>679</v>
      </c>
      <c r="B692">
        <f t="shared" ca="1" si="30"/>
        <v>2.0883977923536922E-2</v>
      </c>
      <c r="C692">
        <f t="shared" ca="1" si="31"/>
        <v>0.28519334479302427</v>
      </c>
      <c r="D692" s="9">
        <f ca="1">Assumptions!B$3*(1+B692)^24*(1-C692/12)^24</f>
        <v>420535.13807757571</v>
      </c>
      <c r="E692" s="9">
        <f t="shared" ca="1" si="32"/>
        <v>5046421.6569309086</v>
      </c>
    </row>
    <row r="693" spans="1:5" x14ac:dyDescent="0.35">
      <c r="A693">
        <v>680</v>
      </c>
      <c r="B693">
        <f t="shared" ca="1" si="30"/>
        <v>2.496764413691939E-2</v>
      </c>
      <c r="C693">
        <f t="shared" ca="1" si="31"/>
        <v>0.24159915563456888</v>
      </c>
      <c r="D693" s="9">
        <f ca="1">Assumptions!B$3*(1+B693)^24*(1-C693/12)^24</f>
        <v>505973.74856421375</v>
      </c>
      <c r="E693" s="9">
        <f t="shared" ca="1" si="32"/>
        <v>6071684.982770565</v>
      </c>
    </row>
    <row r="694" spans="1:5" x14ac:dyDescent="0.35">
      <c r="A694">
        <v>681</v>
      </c>
      <c r="B694">
        <f t="shared" ca="1" si="30"/>
        <v>3.1368463580964671E-2</v>
      </c>
      <c r="C694">
        <f t="shared" ca="1" si="31"/>
        <v>0.21901030013146994</v>
      </c>
      <c r="D694" s="9">
        <f ca="1">Assumptions!B$3*(1+B694)^24*(1-C694/12)^24</f>
        <v>615206.54876078246</v>
      </c>
      <c r="E694" s="9">
        <f t="shared" ca="1" si="32"/>
        <v>7382478.5851293895</v>
      </c>
    </row>
    <row r="695" spans="1:5" x14ac:dyDescent="0.35">
      <c r="A695">
        <v>682</v>
      </c>
      <c r="B695">
        <f t="shared" ca="1" si="30"/>
        <v>4.5977124860306806E-2</v>
      </c>
      <c r="C695">
        <f t="shared" ca="1" si="31"/>
        <v>0.22970161630942915</v>
      </c>
      <c r="D695" s="9">
        <f ca="1">Assumptions!B$3*(1+B695)^24*(1-C695/12)^24</f>
        <v>843641.23339746229</v>
      </c>
      <c r="E695" s="9">
        <f t="shared" ca="1" si="32"/>
        <v>10123694.800769547</v>
      </c>
    </row>
    <row r="696" spans="1:5" x14ac:dyDescent="0.35">
      <c r="A696">
        <v>683</v>
      </c>
      <c r="B696">
        <f t="shared" ca="1" si="30"/>
        <v>2.7188573216559823E-2</v>
      </c>
      <c r="C696">
        <f t="shared" ca="1" si="31"/>
        <v>0.21889908955197013</v>
      </c>
      <c r="D696" s="9">
        <f ca="1">Assumptions!B$3*(1+B696)^24*(1-C696/12)^24</f>
        <v>558201.89179796737</v>
      </c>
      <c r="E696" s="9">
        <f t="shared" ca="1" si="32"/>
        <v>6698422.7015756089</v>
      </c>
    </row>
    <row r="697" spans="1:5" x14ac:dyDescent="0.35">
      <c r="A697">
        <v>684</v>
      </c>
      <c r="B697">
        <f t="shared" ca="1" si="30"/>
        <v>4.3616986925871584E-2</v>
      </c>
      <c r="C697">
        <f t="shared" ca="1" si="31"/>
        <v>0.29498092295970346</v>
      </c>
      <c r="D697" s="9">
        <f ca="1">Assumptions!B$3*(1+B697)^24*(1-C697/12)^24</f>
        <v>699269.10595954955</v>
      </c>
      <c r="E697" s="9">
        <f t="shared" ca="1" si="32"/>
        <v>8391229.2715145946</v>
      </c>
    </row>
    <row r="698" spans="1:5" x14ac:dyDescent="0.35">
      <c r="A698">
        <v>685</v>
      </c>
      <c r="B698">
        <f t="shared" ca="1" si="30"/>
        <v>3.4047104168918034E-2</v>
      </c>
      <c r="C698">
        <f t="shared" ca="1" si="31"/>
        <v>0.22536316860092698</v>
      </c>
      <c r="D698" s="9">
        <f ca="1">Assumptions!B$3*(1+B698)^24*(1-C698/12)^24</f>
        <v>646300.09661838098</v>
      </c>
      <c r="E698" s="9">
        <f t="shared" ca="1" si="32"/>
        <v>7755601.1594205722</v>
      </c>
    </row>
    <row r="699" spans="1:5" x14ac:dyDescent="0.35">
      <c r="A699">
        <v>686</v>
      </c>
      <c r="B699">
        <f t="shared" ca="1" si="30"/>
        <v>1.6838029074900361E-2</v>
      </c>
      <c r="C699">
        <f t="shared" ca="1" si="31"/>
        <v>0.1957541331392243</v>
      </c>
      <c r="D699" s="9">
        <f ca="1">Assumptions!B$3*(1+B699)^24*(1-C699/12)^24</f>
        <v>458866.78060632391</v>
      </c>
      <c r="E699" s="9">
        <f t="shared" ca="1" si="32"/>
        <v>5506401.3672758872</v>
      </c>
    </row>
    <row r="700" spans="1:5" x14ac:dyDescent="0.35">
      <c r="A700">
        <v>687</v>
      </c>
      <c r="B700">
        <f t="shared" ca="1" si="30"/>
        <v>5.0847309697332227E-2</v>
      </c>
      <c r="C700">
        <f t="shared" ca="1" si="31"/>
        <v>0.287389921068822</v>
      </c>
      <c r="D700" s="9">
        <f ca="1">Assumptions!B$3*(1+B700)^24*(1-C700/12)^24</f>
        <v>838233.91378758173</v>
      </c>
      <c r="E700" s="9">
        <f t="shared" ca="1" si="32"/>
        <v>10058806.96545098</v>
      </c>
    </row>
    <row r="701" spans="1:5" x14ac:dyDescent="0.35">
      <c r="A701">
        <v>688</v>
      </c>
      <c r="B701">
        <f t="shared" ca="1" si="30"/>
        <v>3.2030686863019756E-2</v>
      </c>
      <c r="C701">
        <f t="shared" ca="1" si="31"/>
        <v>0.26955815830395519</v>
      </c>
      <c r="D701" s="9">
        <f ca="1">Assumptions!B$3*(1+B701)^24*(1-C701/12)^24</f>
        <v>563499.49727752339</v>
      </c>
      <c r="E701" s="9">
        <f t="shared" ca="1" si="32"/>
        <v>6761993.9673302807</v>
      </c>
    </row>
    <row r="702" spans="1:5" x14ac:dyDescent="0.35">
      <c r="A702">
        <v>689</v>
      </c>
      <c r="B702">
        <f t="shared" ca="1" si="30"/>
        <v>3.7243516898943077E-2</v>
      </c>
      <c r="C702">
        <f t="shared" ca="1" si="31"/>
        <v>0.2744517453699345</v>
      </c>
      <c r="D702" s="9">
        <f ca="1">Assumptions!B$3*(1+B702)^24*(1-C702/12)^24</f>
        <v>629592.09835752123</v>
      </c>
      <c r="E702" s="9">
        <f t="shared" ca="1" si="32"/>
        <v>7555105.1802902548</v>
      </c>
    </row>
    <row r="703" spans="1:5" x14ac:dyDescent="0.35">
      <c r="A703">
        <v>690</v>
      </c>
      <c r="B703">
        <f t="shared" ca="1" si="30"/>
        <v>2.8776427432579826E-2</v>
      </c>
      <c r="C703">
        <f t="shared" ca="1" si="31"/>
        <v>0.35782783560081549</v>
      </c>
      <c r="D703" s="9">
        <f ca="1">Assumptions!B$3*(1+B703)^24*(1-C703/12)^24</f>
        <v>435759.13496383413</v>
      </c>
      <c r="E703" s="9">
        <f t="shared" ca="1" si="32"/>
        <v>5229109.6195660094</v>
      </c>
    </row>
    <row r="704" spans="1:5" x14ac:dyDescent="0.35">
      <c r="A704">
        <v>691</v>
      </c>
      <c r="B704">
        <f t="shared" ca="1" si="30"/>
        <v>1.7947327556508422E-2</v>
      </c>
      <c r="C704">
        <f t="shared" ca="1" si="31"/>
        <v>0.21760660662622611</v>
      </c>
      <c r="D704" s="9">
        <f ca="1">Assumptions!B$3*(1+B704)^24*(1-C704/12)^24</f>
        <v>450544.59657353681</v>
      </c>
      <c r="E704" s="9">
        <f t="shared" ca="1" si="32"/>
        <v>5406535.1588824419</v>
      </c>
    </row>
    <row r="705" spans="1:5" x14ac:dyDescent="0.35">
      <c r="A705">
        <v>692</v>
      </c>
      <c r="B705">
        <f t="shared" ca="1" si="30"/>
        <v>3.0037807637028978E-2</v>
      </c>
      <c r="C705">
        <f t="shared" ca="1" si="31"/>
        <v>0.26959614288419009</v>
      </c>
      <c r="D705" s="9">
        <f ca="1">Assumptions!B$3*(1+B705)^24*(1-C705/12)^24</f>
        <v>537914.30969337176</v>
      </c>
      <c r="E705" s="9">
        <f t="shared" ca="1" si="32"/>
        <v>6454971.7163204607</v>
      </c>
    </row>
    <row r="706" spans="1:5" x14ac:dyDescent="0.35">
      <c r="A706">
        <v>693</v>
      </c>
      <c r="B706">
        <f t="shared" ca="1" si="30"/>
        <v>1.8640352354678674E-2</v>
      </c>
      <c r="C706">
        <f t="shared" ca="1" si="31"/>
        <v>0.29501834375362745</v>
      </c>
      <c r="D706" s="9">
        <f ca="1">Assumptions!B$3*(1+B706)^24*(1-C706/12)^24</f>
        <v>390953.13704212982</v>
      </c>
      <c r="E706" s="9">
        <f t="shared" ca="1" si="32"/>
        <v>4691437.6445055576</v>
      </c>
    </row>
    <row r="707" spans="1:5" x14ac:dyDescent="0.35">
      <c r="A707">
        <v>694</v>
      </c>
      <c r="B707">
        <f t="shared" ca="1" si="30"/>
        <v>1.4836292879526976E-2</v>
      </c>
      <c r="C707">
        <f t="shared" ca="1" si="31"/>
        <v>0.29487417566594998</v>
      </c>
      <c r="D707" s="9">
        <f ca="1">Assumptions!B$3*(1+B707)^24*(1-C707/12)^24</f>
        <v>357483.3459264171</v>
      </c>
      <c r="E707" s="9">
        <f t="shared" ca="1" si="32"/>
        <v>4289800.1511170054</v>
      </c>
    </row>
    <row r="708" spans="1:5" x14ac:dyDescent="0.35">
      <c r="A708">
        <v>695</v>
      </c>
      <c r="B708">
        <f t="shared" ca="1" si="30"/>
        <v>3.1603240005990477E-2</v>
      </c>
      <c r="C708">
        <f t="shared" ca="1" si="31"/>
        <v>0.25719249937470401</v>
      </c>
      <c r="D708" s="9">
        <f ca="1">Assumptions!B$3*(1+B708)^24*(1-C708/12)^24</f>
        <v>572212.45984994271</v>
      </c>
      <c r="E708" s="9">
        <f t="shared" ca="1" si="32"/>
        <v>6866549.5181993125</v>
      </c>
    </row>
    <row r="709" spans="1:5" x14ac:dyDescent="0.35">
      <c r="A709">
        <v>696</v>
      </c>
      <c r="B709">
        <f t="shared" ca="1" si="30"/>
        <v>7.9963757280514212E-3</v>
      </c>
      <c r="C709">
        <f t="shared" ca="1" si="31"/>
        <v>0.3453607129806977</v>
      </c>
      <c r="D709" s="9">
        <f ca="1">Assumptions!B$3*(1+B709)^24*(1-C709/12)^24</f>
        <v>273976.52025182918</v>
      </c>
      <c r="E709" s="9">
        <f t="shared" ca="1" si="32"/>
        <v>3287718.2430219501</v>
      </c>
    </row>
    <row r="710" spans="1:5" x14ac:dyDescent="0.35">
      <c r="A710">
        <v>697</v>
      </c>
      <c r="B710">
        <f t="shared" ca="1" si="30"/>
        <v>1.5065283212017782E-2</v>
      </c>
      <c r="C710">
        <f t="shared" ca="1" si="31"/>
        <v>0.3383507272436399</v>
      </c>
      <c r="D710" s="9">
        <f ca="1">Assumptions!B$3*(1+B710)^24*(1-C710/12)^24</f>
        <v>328715.95129387238</v>
      </c>
      <c r="E710" s="9">
        <f t="shared" ca="1" si="32"/>
        <v>3944591.4155264683</v>
      </c>
    </row>
    <row r="711" spans="1:5" x14ac:dyDescent="0.35">
      <c r="A711">
        <v>698</v>
      </c>
      <c r="B711">
        <f t="shared" ca="1" si="30"/>
        <v>1.9677710234551726E-2</v>
      </c>
      <c r="C711">
        <f t="shared" ca="1" si="31"/>
        <v>0.31927954516822665</v>
      </c>
      <c r="D711" s="9">
        <f ca="1">Assumptions!B$3*(1+B711)^24*(1-C711/12)^24</f>
        <v>381160.0060939205</v>
      </c>
      <c r="E711" s="9">
        <f t="shared" ca="1" si="32"/>
        <v>4573920.0731270462</v>
      </c>
    </row>
    <row r="712" spans="1:5" x14ac:dyDescent="0.35">
      <c r="A712">
        <v>699</v>
      </c>
      <c r="B712">
        <f t="shared" ca="1" si="30"/>
        <v>2.2557994270690673E-2</v>
      </c>
      <c r="C712">
        <f t="shared" ca="1" si="31"/>
        <v>0.25926268528015539</v>
      </c>
      <c r="D712" s="9">
        <f ca="1">Assumptions!B$3*(1+B712)^24*(1-C712/12)^24</f>
        <v>461238.60010095453</v>
      </c>
      <c r="E712" s="9">
        <f t="shared" ca="1" si="32"/>
        <v>5534863.2012114543</v>
      </c>
    </row>
    <row r="713" spans="1:5" x14ac:dyDescent="0.35">
      <c r="A713">
        <v>700</v>
      </c>
      <c r="B713">
        <f t="shared" ca="1" si="30"/>
        <v>3.1859633493611109E-2</v>
      </c>
      <c r="C713">
        <f t="shared" ca="1" si="31"/>
        <v>0.2817916924144177</v>
      </c>
      <c r="D713" s="9">
        <f ca="1">Assumptions!B$3*(1+B713)^24*(1-C713/12)^24</f>
        <v>547381.433329958</v>
      </c>
      <c r="E713" s="9">
        <f t="shared" ca="1" si="32"/>
        <v>6568577.199959496</v>
      </c>
    </row>
    <row r="714" spans="1:5" x14ac:dyDescent="0.35">
      <c r="A714">
        <v>701</v>
      </c>
      <c r="B714">
        <f t="shared" ca="1" si="30"/>
        <v>3.4839563551840327E-2</v>
      </c>
      <c r="C714">
        <f t="shared" ca="1" si="31"/>
        <v>0.22653868253902903</v>
      </c>
      <c r="D714" s="9">
        <f ca="1">Assumptions!B$3*(1+B714)^24*(1-C714/12)^24</f>
        <v>656717.24671574857</v>
      </c>
      <c r="E714" s="9">
        <f t="shared" ca="1" si="32"/>
        <v>7880606.9605889823</v>
      </c>
    </row>
    <row r="715" spans="1:5" x14ac:dyDescent="0.35">
      <c r="A715">
        <v>702</v>
      </c>
      <c r="B715">
        <f t="shared" ca="1" si="30"/>
        <v>2.9970816961920995E-2</v>
      </c>
      <c r="C715">
        <f t="shared" ca="1" si="31"/>
        <v>0.21866096519980269</v>
      </c>
      <c r="D715" s="9">
        <f ca="1">Assumptions!B$3*(1+B715)^24*(1-C715/12)^24</f>
        <v>595930.67400728003</v>
      </c>
      <c r="E715" s="9">
        <f t="shared" ca="1" si="32"/>
        <v>7151168.0880873604</v>
      </c>
    </row>
    <row r="716" spans="1:5" x14ac:dyDescent="0.35">
      <c r="A716">
        <v>703</v>
      </c>
      <c r="B716">
        <f t="shared" ca="1" si="30"/>
        <v>3.6226290995337099E-2</v>
      </c>
      <c r="C716">
        <f t="shared" ca="1" si="31"/>
        <v>0.22092148816141344</v>
      </c>
      <c r="D716" s="9">
        <f ca="1">Assumptions!B$3*(1+B716)^24*(1-C716/12)^24</f>
        <v>685974.76028095384</v>
      </c>
      <c r="E716" s="9">
        <f t="shared" ca="1" si="32"/>
        <v>8231697.1233714465</v>
      </c>
    </row>
    <row r="717" spans="1:5" x14ac:dyDescent="0.35">
      <c r="A717">
        <v>704</v>
      </c>
      <c r="B717">
        <f t="shared" ca="1" si="30"/>
        <v>2.9757360862891602E-2</v>
      </c>
      <c r="C717">
        <f t="shared" ca="1" si="31"/>
        <v>0.28944072193097481</v>
      </c>
      <c r="D717" s="9">
        <f ca="1">Assumptions!B$3*(1+B717)^24*(1-C717/12)^24</f>
        <v>513129.49313526473</v>
      </c>
      <c r="E717" s="9">
        <f t="shared" ca="1" si="32"/>
        <v>6157553.9176231772</v>
      </c>
    </row>
    <row r="718" spans="1:5" x14ac:dyDescent="0.35">
      <c r="A718">
        <v>705</v>
      </c>
      <c r="B718">
        <f t="shared" ca="1" si="30"/>
        <v>3.7231266515229448E-2</v>
      </c>
      <c r="C718">
        <f t="shared" ca="1" si="31"/>
        <v>0.20182318923230552</v>
      </c>
      <c r="D718" s="9">
        <f ca="1">Assumptions!B$3*(1+B718)^24*(1-C718/12)^24</f>
        <v>729958.17302662332</v>
      </c>
      <c r="E718" s="9">
        <f t="shared" ca="1" si="32"/>
        <v>8759498.0763194803</v>
      </c>
    </row>
    <row r="719" spans="1:5" x14ac:dyDescent="0.35">
      <c r="A719">
        <v>706</v>
      </c>
      <c r="B719">
        <f t="shared" ca="1" si="30"/>
        <v>6.2873503710631183E-3</v>
      </c>
      <c r="C719">
        <f t="shared" ca="1" si="31"/>
        <v>0.21556270774529343</v>
      </c>
      <c r="D719" s="9">
        <f ca="1">Assumptions!B$3*(1+B719)^24*(1-C719/12)^24</f>
        <v>343136.31952051853</v>
      </c>
      <c r="E719" s="9">
        <f t="shared" ca="1" si="32"/>
        <v>4117635.8342462224</v>
      </c>
    </row>
    <row r="720" spans="1:5" x14ac:dyDescent="0.35">
      <c r="A720">
        <v>707</v>
      </c>
      <c r="B720">
        <f t="shared" ref="B720:B783" ca="1" si="33">_xlfn.NORM.INV(RAND(), $B$4, $B$5)</f>
        <v>2.8131791405828808E-2</v>
      </c>
      <c r="C720">
        <f t="shared" ref="C720:C783" ca="1" si="34">+_xlfn.NORM.INV(RAND(), $B$6, $B$7)</f>
        <v>0.35473193746088977</v>
      </c>
      <c r="D720" s="9">
        <f ca="1">Assumptions!B$3*(1+B720)^24*(1-C720/12)^24</f>
        <v>432000.90367144701</v>
      </c>
      <c r="E720" s="9">
        <f t="shared" ref="E720:E783" ca="1" si="35">D720*12</f>
        <v>5184010.8440573644</v>
      </c>
    </row>
    <row r="721" spans="1:5" x14ac:dyDescent="0.35">
      <c r="A721">
        <v>708</v>
      </c>
      <c r="B721">
        <f t="shared" ca="1" si="33"/>
        <v>4.4724168092397563E-2</v>
      </c>
      <c r="C721">
        <f t="shared" ca="1" si="34"/>
        <v>0.34220796484392191</v>
      </c>
      <c r="D721" s="9">
        <f ca="1">Assumptions!B$3*(1+B721)^24*(1-C721/12)^24</f>
        <v>650963.52905888541</v>
      </c>
      <c r="E721" s="9">
        <f t="shared" ca="1" si="35"/>
        <v>7811562.3487066254</v>
      </c>
    </row>
    <row r="722" spans="1:5" x14ac:dyDescent="0.35">
      <c r="A722">
        <v>709</v>
      </c>
      <c r="B722">
        <f t="shared" ca="1" si="33"/>
        <v>2.3818656706080157E-2</v>
      </c>
      <c r="C722">
        <f t="shared" ca="1" si="34"/>
        <v>0.23693653107866905</v>
      </c>
      <c r="D722" s="9">
        <f ca="1">Assumptions!B$3*(1+B722)^24*(1-C722/12)^24</f>
        <v>497243.92235890374</v>
      </c>
      <c r="E722" s="9">
        <f t="shared" ca="1" si="35"/>
        <v>5966927.0683068447</v>
      </c>
    </row>
    <row r="723" spans="1:5" x14ac:dyDescent="0.35">
      <c r="A723">
        <v>710</v>
      </c>
      <c r="B723">
        <f t="shared" ca="1" si="33"/>
        <v>8.0224861537635112E-3</v>
      </c>
      <c r="C723">
        <f t="shared" ca="1" si="34"/>
        <v>0.27075158082905998</v>
      </c>
      <c r="D723" s="9">
        <f ca="1">Assumptions!B$3*(1+B723)^24*(1-C723/12)^24</f>
        <v>319518.26106203627</v>
      </c>
      <c r="E723" s="9">
        <f t="shared" ca="1" si="35"/>
        <v>3834219.1327444352</v>
      </c>
    </row>
    <row r="724" spans="1:5" x14ac:dyDescent="0.35">
      <c r="A724">
        <v>711</v>
      </c>
      <c r="B724">
        <f t="shared" ca="1" si="33"/>
        <v>5.1558514502796013E-2</v>
      </c>
      <c r="C724">
        <f t="shared" ca="1" si="34"/>
        <v>0.2314670383541329</v>
      </c>
      <c r="D724" s="9">
        <f ca="1">Assumptions!B$3*(1+B724)^24*(1-C724/12)^24</f>
        <v>955134.44697553688</v>
      </c>
      <c r="E724" s="9">
        <f t="shared" ca="1" si="35"/>
        <v>11461613.363706443</v>
      </c>
    </row>
    <row r="725" spans="1:5" x14ac:dyDescent="0.35">
      <c r="A725">
        <v>712</v>
      </c>
      <c r="B725">
        <f t="shared" ca="1" si="33"/>
        <v>2.2409908320146645E-2</v>
      </c>
      <c r="C725">
        <f t="shared" ca="1" si="34"/>
        <v>0.31613260283434386</v>
      </c>
      <c r="D725" s="9">
        <f ca="1">Assumptions!B$3*(1+B725)^24*(1-C725/12)^24</f>
        <v>409077.91223971453</v>
      </c>
      <c r="E725" s="9">
        <f t="shared" ca="1" si="35"/>
        <v>4908934.9468765743</v>
      </c>
    </row>
    <row r="726" spans="1:5" x14ac:dyDescent="0.35">
      <c r="A726">
        <v>713</v>
      </c>
      <c r="B726">
        <f t="shared" ca="1" si="33"/>
        <v>3.3459194459349494E-2</v>
      </c>
      <c r="C726">
        <f t="shared" ca="1" si="34"/>
        <v>0.29642780330709551</v>
      </c>
      <c r="D726" s="9">
        <f ca="1">Assumptions!B$3*(1+B726)^24*(1-C726/12)^24</f>
        <v>551326.03400972311</v>
      </c>
      <c r="E726" s="9">
        <f t="shared" ca="1" si="35"/>
        <v>6615912.4081166778</v>
      </c>
    </row>
    <row r="727" spans="1:5" x14ac:dyDescent="0.35">
      <c r="A727">
        <v>714</v>
      </c>
      <c r="B727">
        <f t="shared" ca="1" si="33"/>
        <v>1.0426484308510148E-2</v>
      </c>
      <c r="C727">
        <f t="shared" ca="1" si="34"/>
        <v>0.30291714279473375</v>
      </c>
      <c r="D727" s="9">
        <f ca="1">Assumptions!B$3*(1+B727)^24*(1-C727/12)^24</f>
        <v>316738.50884143118</v>
      </c>
      <c r="E727" s="9">
        <f t="shared" ca="1" si="35"/>
        <v>3800862.1060971739</v>
      </c>
    </row>
    <row r="728" spans="1:5" x14ac:dyDescent="0.35">
      <c r="A728">
        <v>715</v>
      </c>
      <c r="B728">
        <f t="shared" ca="1" si="33"/>
        <v>3.1931552195405263E-2</v>
      </c>
      <c r="C728">
        <f t="shared" ca="1" si="34"/>
        <v>0.24415254761365099</v>
      </c>
      <c r="D728" s="9">
        <f ca="1">Assumptions!B$3*(1+B728)^24*(1-C728/12)^24</f>
        <v>592163.96630614577</v>
      </c>
      <c r="E728" s="9">
        <f t="shared" ca="1" si="35"/>
        <v>7105967.5956737492</v>
      </c>
    </row>
    <row r="729" spans="1:5" x14ac:dyDescent="0.35">
      <c r="A729">
        <v>716</v>
      </c>
      <c r="B729">
        <f t="shared" ca="1" si="33"/>
        <v>3.4916465004395651E-2</v>
      </c>
      <c r="C729">
        <f t="shared" ca="1" si="34"/>
        <v>0.30210090950766311</v>
      </c>
      <c r="D729" s="9">
        <f ca="1">Assumptions!B$3*(1+B729)^24*(1-C729/12)^24</f>
        <v>563692.1457997387</v>
      </c>
      <c r="E729" s="9">
        <f t="shared" ca="1" si="35"/>
        <v>6764305.749596864</v>
      </c>
    </row>
    <row r="730" spans="1:5" x14ac:dyDescent="0.35">
      <c r="A730">
        <v>717</v>
      </c>
      <c r="B730">
        <f t="shared" ca="1" si="33"/>
        <v>1.5559220891672906E-2</v>
      </c>
      <c r="C730">
        <f t="shared" ca="1" si="34"/>
        <v>0.25410470875012553</v>
      </c>
      <c r="D730" s="9">
        <f ca="1">Assumptions!B$3*(1+B730)^24*(1-C730/12)^24</f>
        <v>395292.94490366353</v>
      </c>
      <c r="E730" s="9">
        <f t="shared" ca="1" si="35"/>
        <v>4743515.3388439622</v>
      </c>
    </row>
    <row r="731" spans="1:5" x14ac:dyDescent="0.35">
      <c r="A731">
        <v>718</v>
      </c>
      <c r="B731">
        <f t="shared" ca="1" si="33"/>
        <v>1.3641004716545106E-2</v>
      </c>
      <c r="C731">
        <f t="shared" ca="1" si="34"/>
        <v>0.28709819714878526</v>
      </c>
      <c r="D731" s="9">
        <f ca="1">Assumptions!B$3*(1+B731)^24*(1-C731/12)^24</f>
        <v>353097.07963008486</v>
      </c>
      <c r="E731" s="9">
        <f t="shared" ca="1" si="35"/>
        <v>4237164.9555610185</v>
      </c>
    </row>
    <row r="732" spans="1:5" x14ac:dyDescent="0.35">
      <c r="A732">
        <v>719</v>
      </c>
      <c r="B732">
        <f t="shared" ca="1" si="33"/>
        <v>1.9624771942574219E-2</v>
      </c>
      <c r="C732">
        <f t="shared" ca="1" si="34"/>
        <v>0.23028114431712118</v>
      </c>
      <c r="D732" s="9">
        <f ca="1">Assumptions!B$3*(1+B732)^24*(1-C732/12)^24</f>
        <v>456752.76378475374</v>
      </c>
      <c r="E732" s="9">
        <f t="shared" ca="1" si="35"/>
        <v>5481033.1654170454</v>
      </c>
    </row>
    <row r="733" spans="1:5" x14ac:dyDescent="0.35">
      <c r="A733">
        <v>720</v>
      </c>
      <c r="B733">
        <f t="shared" ca="1" si="33"/>
        <v>2.5368044874350081E-2</v>
      </c>
      <c r="C733">
        <f t="shared" ca="1" si="34"/>
        <v>0.25443438783643929</v>
      </c>
      <c r="D733" s="9">
        <f ca="1">Assumptions!B$3*(1+B733)^24*(1-C733/12)^24</f>
        <v>497525.22892396775</v>
      </c>
      <c r="E733" s="9">
        <f t="shared" ca="1" si="35"/>
        <v>5970302.7470876127</v>
      </c>
    </row>
    <row r="734" spans="1:5" x14ac:dyDescent="0.35">
      <c r="A734">
        <v>721</v>
      </c>
      <c r="B734">
        <f t="shared" ca="1" si="33"/>
        <v>1.1145689403505271E-2</v>
      </c>
      <c r="C734">
        <f t="shared" ca="1" si="34"/>
        <v>0.22715228053894074</v>
      </c>
      <c r="D734" s="9">
        <f ca="1">Assumptions!B$3*(1+B734)^24*(1-C734/12)^24</f>
        <v>376194.32828958851</v>
      </c>
      <c r="E734" s="9">
        <f t="shared" ca="1" si="35"/>
        <v>4514331.9394750623</v>
      </c>
    </row>
    <row r="735" spans="1:5" x14ac:dyDescent="0.35">
      <c r="A735">
        <v>722</v>
      </c>
      <c r="B735">
        <f t="shared" ca="1" si="33"/>
        <v>2.6556211743169009E-2</v>
      </c>
      <c r="C735">
        <f t="shared" ca="1" si="34"/>
        <v>0.25462929282608204</v>
      </c>
      <c r="D735" s="9">
        <f ca="1">Assumptions!B$3*(1+B735)^24*(1-C735/12)^24</f>
        <v>511343.92936817667</v>
      </c>
      <c r="E735" s="9">
        <f t="shared" ca="1" si="35"/>
        <v>6136127.1524181198</v>
      </c>
    </row>
    <row r="736" spans="1:5" x14ac:dyDescent="0.35">
      <c r="A736">
        <v>723</v>
      </c>
      <c r="B736">
        <f t="shared" ca="1" si="33"/>
        <v>3.3543147248770513E-2</v>
      </c>
      <c r="C736">
        <f t="shared" ca="1" si="34"/>
        <v>0.21282377374021666</v>
      </c>
      <c r="D736" s="9">
        <f ca="1">Assumptions!B$3*(1+B736)^24*(1-C736/12)^24</f>
        <v>655310.7528344983</v>
      </c>
      <c r="E736" s="9">
        <f t="shared" ca="1" si="35"/>
        <v>7863729.0340139791</v>
      </c>
    </row>
    <row r="737" spans="1:5" x14ac:dyDescent="0.35">
      <c r="A737">
        <v>724</v>
      </c>
      <c r="B737">
        <f t="shared" ca="1" si="33"/>
        <v>1.9410634610143893E-2</v>
      </c>
      <c r="C737">
        <f t="shared" ca="1" si="34"/>
        <v>0.22680758408130541</v>
      </c>
      <c r="D737" s="9">
        <f ca="1">Assumptions!B$3*(1+B737)^24*(1-C737/12)^24</f>
        <v>457685.9897027305</v>
      </c>
      <c r="E737" s="9">
        <f t="shared" ca="1" si="35"/>
        <v>5492231.8764327662</v>
      </c>
    </row>
    <row r="738" spans="1:5" x14ac:dyDescent="0.35">
      <c r="A738">
        <v>725</v>
      </c>
      <c r="B738">
        <f t="shared" ca="1" si="33"/>
        <v>3.6012312720732853E-2</v>
      </c>
      <c r="C738">
        <f t="shared" ca="1" si="34"/>
        <v>0.26584992220102382</v>
      </c>
      <c r="D738" s="9">
        <f ca="1">Assumptions!B$3*(1+B738)^24*(1-C738/12)^24</f>
        <v>622763.71727994352</v>
      </c>
      <c r="E738" s="9">
        <f t="shared" ca="1" si="35"/>
        <v>7473164.6073593218</v>
      </c>
    </row>
    <row r="739" spans="1:5" x14ac:dyDescent="0.35">
      <c r="A739">
        <v>726</v>
      </c>
      <c r="B739">
        <f t="shared" ca="1" si="33"/>
        <v>3.8293648730263571E-2</v>
      </c>
      <c r="C739">
        <f t="shared" ca="1" si="34"/>
        <v>0.15175055159719514</v>
      </c>
      <c r="D739" s="9">
        <f ca="1">Assumptions!B$3*(1+B739)^24*(1-C739/12)^24</f>
        <v>828154.27743119362</v>
      </c>
      <c r="E739" s="9">
        <f t="shared" ca="1" si="35"/>
        <v>9937851.329174323</v>
      </c>
    </row>
    <row r="740" spans="1:5" x14ac:dyDescent="0.35">
      <c r="A740">
        <v>727</v>
      </c>
      <c r="B740">
        <f t="shared" ca="1" si="33"/>
        <v>2.241934734975369E-2</v>
      </c>
      <c r="C740">
        <f t="shared" ca="1" si="34"/>
        <v>0.41288077313957661</v>
      </c>
      <c r="D740" s="9">
        <f ca="1">Assumptions!B$3*(1+B740)^24*(1-C740/12)^24</f>
        <v>335146.59261592064</v>
      </c>
      <c r="E740" s="9">
        <f t="shared" ca="1" si="35"/>
        <v>4021759.1113910479</v>
      </c>
    </row>
    <row r="741" spans="1:5" x14ac:dyDescent="0.35">
      <c r="A741">
        <v>728</v>
      </c>
      <c r="B741">
        <f t="shared" ca="1" si="33"/>
        <v>1.3121320364372246E-2</v>
      </c>
      <c r="C741">
        <f t="shared" ca="1" si="34"/>
        <v>0.20300129214458398</v>
      </c>
      <c r="D741" s="9">
        <f ca="1">Assumptions!B$3*(1+B741)^24*(1-C741/12)^24</f>
        <v>414111.84584617411</v>
      </c>
      <c r="E741" s="9">
        <f t="shared" ca="1" si="35"/>
        <v>4969342.1501540896</v>
      </c>
    </row>
    <row r="742" spans="1:5" x14ac:dyDescent="0.35">
      <c r="A742">
        <v>729</v>
      </c>
      <c r="B742">
        <f t="shared" ca="1" si="33"/>
        <v>2.8717048968933859E-2</v>
      </c>
      <c r="C742">
        <f t="shared" ca="1" si="34"/>
        <v>0.22040124048148571</v>
      </c>
      <c r="D742" s="9">
        <f ca="1">Assumptions!B$3*(1+B742)^24*(1-C742/12)^24</f>
        <v>576713.89551805728</v>
      </c>
      <c r="E742" s="9">
        <f t="shared" ca="1" si="35"/>
        <v>6920566.7462166874</v>
      </c>
    </row>
    <row r="743" spans="1:5" x14ac:dyDescent="0.35">
      <c r="A743">
        <v>730</v>
      </c>
      <c r="B743">
        <f t="shared" ca="1" si="33"/>
        <v>2.0550947924728433E-2</v>
      </c>
      <c r="C743">
        <f t="shared" ca="1" si="34"/>
        <v>0.35156820116691895</v>
      </c>
      <c r="D743" s="9">
        <f ca="1">Assumptions!B$3*(1+B743)^24*(1-C743/12)^24</f>
        <v>364063.8969681976</v>
      </c>
      <c r="E743" s="9">
        <f t="shared" ca="1" si="35"/>
        <v>4368766.7636183714</v>
      </c>
    </row>
    <row r="744" spans="1:5" x14ac:dyDescent="0.35">
      <c r="A744">
        <v>731</v>
      </c>
      <c r="B744">
        <f t="shared" ca="1" si="33"/>
        <v>2.7770891211429449E-2</v>
      </c>
      <c r="C744">
        <f t="shared" ca="1" si="34"/>
        <v>0.249945382011069</v>
      </c>
      <c r="D744" s="9">
        <f ca="1">Assumptions!B$3*(1+B744)^24*(1-C744/12)^24</f>
        <v>531122.5507936714</v>
      </c>
      <c r="E744" s="9">
        <f t="shared" ca="1" si="35"/>
        <v>6373470.6095240563</v>
      </c>
    </row>
    <row r="745" spans="1:5" x14ac:dyDescent="0.35">
      <c r="A745">
        <v>732</v>
      </c>
      <c r="B745">
        <f t="shared" ca="1" si="33"/>
        <v>2.788312362667221E-2</v>
      </c>
      <c r="C745">
        <f t="shared" ca="1" si="34"/>
        <v>0.31790857174756637</v>
      </c>
      <c r="D745" s="9">
        <f ca="1">Assumptions!B$3*(1+B745)^24*(1-C745/12)^24</f>
        <v>463308.26619782805</v>
      </c>
      <c r="E745" s="9">
        <f t="shared" ca="1" si="35"/>
        <v>5559699.1943739364</v>
      </c>
    </row>
    <row r="746" spans="1:5" x14ac:dyDescent="0.35">
      <c r="A746">
        <v>733</v>
      </c>
      <c r="B746">
        <f t="shared" ca="1" si="33"/>
        <v>7.336221590694296E-3</v>
      </c>
      <c r="C746">
        <f t="shared" ca="1" si="34"/>
        <v>0.29281709915600362</v>
      </c>
      <c r="D746" s="9">
        <f ca="1">Assumptions!B$3*(1+B746)^24*(1-C746/12)^24</f>
        <v>300448.7947808067</v>
      </c>
      <c r="E746" s="9">
        <f t="shared" ca="1" si="35"/>
        <v>3605385.5373696806</v>
      </c>
    </row>
    <row r="747" spans="1:5" x14ac:dyDescent="0.35">
      <c r="A747">
        <v>734</v>
      </c>
      <c r="B747">
        <f t="shared" ca="1" si="33"/>
        <v>1.3748367225470941E-2</v>
      </c>
      <c r="C747">
        <f t="shared" ca="1" si="34"/>
        <v>0.1966305749453614</v>
      </c>
      <c r="D747" s="9">
        <f ca="1">Assumptions!B$3*(1+B747)^24*(1-C747/12)^24</f>
        <v>425788.56990300422</v>
      </c>
      <c r="E747" s="9">
        <f t="shared" ca="1" si="35"/>
        <v>5109462.8388360506</v>
      </c>
    </row>
    <row r="748" spans="1:5" x14ac:dyDescent="0.35">
      <c r="A748">
        <v>735</v>
      </c>
      <c r="B748">
        <f t="shared" ca="1" si="33"/>
        <v>4.7671899579780276E-2</v>
      </c>
      <c r="C748">
        <f t="shared" ca="1" si="34"/>
        <v>0.2425362552552075</v>
      </c>
      <c r="D748" s="9">
        <f ca="1">Assumptions!B$3*(1+B748)^24*(1-C748/12)^24</f>
        <v>854398.78714633256</v>
      </c>
      <c r="E748" s="9">
        <f t="shared" ca="1" si="35"/>
        <v>10252785.44575599</v>
      </c>
    </row>
    <row r="749" spans="1:5" x14ac:dyDescent="0.35">
      <c r="A749">
        <v>736</v>
      </c>
      <c r="B749">
        <f t="shared" ca="1" si="33"/>
        <v>3.8893462061719446E-2</v>
      </c>
      <c r="C749">
        <f t="shared" ca="1" si="34"/>
        <v>0.21100823715242253</v>
      </c>
      <c r="D749" s="9">
        <f ca="1">Assumptions!B$3*(1+B749)^24*(1-C749/12)^24</f>
        <v>744509.47930191795</v>
      </c>
      <c r="E749" s="9">
        <f t="shared" ca="1" si="35"/>
        <v>8934113.7516230159</v>
      </c>
    </row>
    <row r="750" spans="1:5" x14ac:dyDescent="0.35">
      <c r="A750">
        <v>737</v>
      </c>
      <c r="B750">
        <f t="shared" ca="1" si="33"/>
        <v>4.7774571682660069E-2</v>
      </c>
      <c r="C750">
        <f t="shared" ca="1" si="34"/>
        <v>0.2082955413915166</v>
      </c>
      <c r="D750" s="9">
        <f ca="1">Assumptions!B$3*(1+B750)^24*(1-C750/12)^24</f>
        <v>918316.81332001404</v>
      </c>
      <c r="E750" s="9">
        <f t="shared" ca="1" si="35"/>
        <v>11019801.759840168</v>
      </c>
    </row>
    <row r="751" spans="1:5" x14ac:dyDescent="0.35">
      <c r="A751">
        <v>738</v>
      </c>
      <c r="B751">
        <f t="shared" ca="1" si="33"/>
        <v>1.5853220383947552E-2</v>
      </c>
      <c r="C751">
        <f t="shared" ca="1" si="34"/>
        <v>0.25410861875391311</v>
      </c>
      <c r="D751" s="9">
        <f ca="1">Assumptions!B$3*(1+B751)^24*(1-C751/12)^24</f>
        <v>398045.37732587999</v>
      </c>
      <c r="E751" s="9">
        <f t="shared" ca="1" si="35"/>
        <v>4776544.5279105604</v>
      </c>
    </row>
    <row r="752" spans="1:5" x14ac:dyDescent="0.35">
      <c r="A752">
        <v>739</v>
      </c>
      <c r="B752">
        <f t="shared" ca="1" si="33"/>
        <v>3.3992117687163481E-2</v>
      </c>
      <c r="C752">
        <f t="shared" ca="1" si="34"/>
        <v>0.24728633197885325</v>
      </c>
      <c r="D752" s="9">
        <f ca="1">Assumptions!B$3*(1+B752)^24*(1-C752/12)^24</f>
        <v>617241.58771956142</v>
      </c>
      <c r="E752" s="9">
        <f t="shared" ca="1" si="35"/>
        <v>7406899.0526347365</v>
      </c>
    </row>
    <row r="753" spans="1:5" x14ac:dyDescent="0.35">
      <c r="A753">
        <v>740</v>
      </c>
      <c r="B753">
        <f t="shared" ca="1" si="33"/>
        <v>2.2885288210550254E-2</v>
      </c>
      <c r="C753">
        <f t="shared" ca="1" si="34"/>
        <v>0.25754352059742974</v>
      </c>
      <c r="D753" s="9">
        <f ca="1">Assumptions!B$3*(1+B753)^24*(1-C753/12)^24</f>
        <v>466430.96220315254</v>
      </c>
      <c r="E753" s="9">
        <f t="shared" ca="1" si="35"/>
        <v>5597171.5464378307</v>
      </c>
    </row>
    <row r="754" spans="1:5" x14ac:dyDescent="0.35">
      <c r="A754">
        <v>741</v>
      </c>
      <c r="B754">
        <f t="shared" ca="1" si="33"/>
        <v>3.7974709717730142E-2</v>
      </c>
      <c r="C754">
        <f t="shared" ca="1" si="34"/>
        <v>0.25652649795246169</v>
      </c>
      <c r="D754" s="9">
        <f ca="1">Assumptions!B$3*(1+B754)^24*(1-C754/12)^24</f>
        <v>664241.85014347278</v>
      </c>
      <c r="E754" s="9">
        <f t="shared" ca="1" si="35"/>
        <v>7970902.2017216738</v>
      </c>
    </row>
    <row r="755" spans="1:5" x14ac:dyDescent="0.35">
      <c r="A755">
        <v>742</v>
      </c>
      <c r="B755">
        <f t="shared" ca="1" si="33"/>
        <v>4.0567598994541564E-2</v>
      </c>
      <c r="C755">
        <f t="shared" ca="1" si="34"/>
        <v>0.37359059123846489</v>
      </c>
      <c r="D755" s="9">
        <f ca="1">Assumptions!B$3*(1+B755)^24*(1-C755/12)^24</f>
        <v>554508.02031682979</v>
      </c>
      <c r="E755" s="9">
        <f t="shared" ca="1" si="35"/>
        <v>6654096.243801957</v>
      </c>
    </row>
    <row r="756" spans="1:5" x14ac:dyDescent="0.35">
      <c r="A756">
        <v>743</v>
      </c>
      <c r="B756">
        <f t="shared" ca="1" si="33"/>
        <v>4.0287307403210224E-2</v>
      </c>
      <c r="C756">
        <f t="shared" ca="1" si="34"/>
        <v>0.29805570494362743</v>
      </c>
      <c r="D756" s="9">
        <f ca="1">Assumptions!B$3*(1+B756)^24*(1-C756/12)^24</f>
        <v>643572.97510746738</v>
      </c>
      <c r="E756" s="9">
        <f t="shared" ca="1" si="35"/>
        <v>7722875.7012896091</v>
      </c>
    </row>
    <row r="757" spans="1:5" x14ac:dyDescent="0.35">
      <c r="A757">
        <v>744</v>
      </c>
      <c r="B757">
        <f t="shared" ca="1" si="33"/>
        <v>3.5568926806866547E-2</v>
      </c>
      <c r="C757">
        <f t="shared" ca="1" si="34"/>
        <v>0.31343104426316837</v>
      </c>
      <c r="D757" s="9">
        <f ca="1">Assumptions!B$3*(1+B757)^24*(1-C757/12)^24</f>
        <v>559127.49474254774</v>
      </c>
      <c r="E757" s="9">
        <f t="shared" ca="1" si="35"/>
        <v>6709529.9369105734</v>
      </c>
    </row>
    <row r="758" spans="1:5" x14ac:dyDescent="0.35">
      <c r="A758">
        <v>745</v>
      </c>
      <c r="B758">
        <f t="shared" ca="1" si="33"/>
        <v>2.0860463596184289E-2</v>
      </c>
      <c r="C758">
        <f t="shared" ca="1" si="34"/>
        <v>0.27517808799648252</v>
      </c>
      <c r="D758" s="9">
        <f ca="1">Assumptions!B$3*(1+B758)^24*(1-C758/12)^24</f>
        <v>429011.88284509117</v>
      </c>
      <c r="E758" s="9">
        <f t="shared" ca="1" si="35"/>
        <v>5148142.594141094</v>
      </c>
    </row>
    <row r="759" spans="1:5" x14ac:dyDescent="0.35">
      <c r="A759">
        <v>746</v>
      </c>
      <c r="B759">
        <f t="shared" ca="1" si="33"/>
        <v>4.0630989434582578E-2</v>
      </c>
      <c r="C759">
        <f t="shared" ca="1" si="34"/>
        <v>0.21544930059717299</v>
      </c>
      <c r="D759" s="9">
        <f ca="1">Assumptions!B$3*(1+B759)^24*(1-C759/12)^24</f>
        <v>767999.23686395027</v>
      </c>
      <c r="E759" s="9">
        <f t="shared" ca="1" si="35"/>
        <v>9215990.8423674032</v>
      </c>
    </row>
    <row r="760" spans="1:5" x14ac:dyDescent="0.35">
      <c r="A760">
        <v>747</v>
      </c>
      <c r="B760">
        <f t="shared" ca="1" si="33"/>
        <v>2.3356604053707125E-2</v>
      </c>
      <c r="C760">
        <f t="shared" ca="1" si="34"/>
        <v>0.21046199217015044</v>
      </c>
      <c r="D760" s="9">
        <f ca="1">Assumptions!B$3*(1+B760)^24*(1-C760/12)^24</f>
        <v>519154.68304633076</v>
      </c>
      <c r="E760" s="9">
        <f t="shared" ca="1" si="35"/>
        <v>6229856.1965559693</v>
      </c>
    </row>
    <row r="761" spans="1:5" x14ac:dyDescent="0.35">
      <c r="A761">
        <v>748</v>
      </c>
      <c r="B761">
        <f t="shared" ca="1" si="33"/>
        <v>3.9082016240375522E-2</v>
      </c>
      <c r="C761">
        <f t="shared" ca="1" si="34"/>
        <v>0.27530092088536157</v>
      </c>
      <c r="D761" s="9">
        <f ca="1">Assumptions!B$3*(1+B761)^24*(1-C761/12)^24</f>
        <v>655786.96152607072</v>
      </c>
      <c r="E761" s="9">
        <f t="shared" ca="1" si="35"/>
        <v>7869443.5383128487</v>
      </c>
    </row>
    <row r="762" spans="1:5" x14ac:dyDescent="0.35">
      <c r="A762">
        <v>749</v>
      </c>
      <c r="B762">
        <f t="shared" ca="1" si="33"/>
        <v>3.0334524317580637E-2</v>
      </c>
      <c r="C762">
        <f t="shared" ca="1" si="34"/>
        <v>0.29204449431103879</v>
      </c>
      <c r="D762" s="9">
        <f ca="1">Assumptions!B$3*(1+B762)^24*(1-C762/12)^24</f>
        <v>517308.42173433467</v>
      </c>
      <c r="E762" s="9">
        <f t="shared" ca="1" si="35"/>
        <v>6207701.060812016</v>
      </c>
    </row>
    <row r="763" spans="1:5" x14ac:dyDescent="0.35">
      <c r="A763">
        <v>750</v>
      </c>
      <c r="B763">
        <f t="shared" ca="1" si="33"/>
        <v>2.001387608789542E-2</v>
      </c>
      <c r="C763">
        <f t="shared" ca="1" si="34"/>
        <v>0.21050308919267588</v>
      </c>
      <c r="D763" s="9">
        <f ca="1">Assumptions!B$3*(1+B763)^24*(1-C763/12)^24</f>
        <v>479908.49961989158</v>
      </c>
      <c r="E763" s="9">
        <f t="shared" ca="1" si="35"/>
        <v>5758901.9954386987</v>
      </c>
    </row>
    <row r="764" spans="1:5" x14ac:dyDescent="0.35">
      <c r="A764">
        <v>751</v>
      </c>
      <c r="B764">
        <f t="shared" ca="1" si="33"/>
        <v>4.7815348512832118E-2</v>
      </c>
      <c r="C764">
        <f t="shared" ca="1" si="34"/>
        <v>0.23000047486022629</v>
      </c>
      <c r="D764" s="9">
        <f ca="1">Assumptions!B$3*(1+B764)^24*(1-C764/12)^24</f>
        <v>879416.88302552979</v>
      </c>
      <c r="E764" s="9">
        <f t="shared" ca="1" si="35"/>
        <v>10553002.596306358</v>
      </c>
    </row>
    <row r="765" spans="1:5" x14ac:dyDescent="0.35">
      <c r="A765">
        <v>752</v>
      </c>
      <c r="B765">
        <f t="shared" ca="1" si="33"/>
        <v>4.8222975858563465E-2</v>
      </c>
      <c r="C765">
        <f t="shared" ca="1" si="34"/>
        <v>0.22534896365058868</v>
      </c>
      <c r="D765" s="9">
        <f ca="1">Assumptions!B$3*(1+B765)^24*(1-C765/12)^24</f>
        <v>896122.21388778568</v>
      </c>
      <c r="E765" s="9">
        <f t="shared" ca="1" si="35"/>
        <v>10753466.566653429</v>
      </c>
    </row>
    <row r="766" spans="1:5" x14ac:dyDescent="0.35">
      <c r="A766">
        <v>753</v>
      </c>
      <c r="B766">
        <f t="shared" ca="1" si="33"/>
        <v>3.4656621195964715E-2</v>
      </c>
      <c r="C766">
        <f t="shared" ca="1" si="34"/>
        <v>0.27363416646786737</v>
      </c>
      <c r="D766" s="9">
        <f ca="1">Assumptions!B$3*(1+B766)^24*(1-C766/12)^24</f>
        <v>593961.50679046044</v>
      </c>
      <c r="E766" s="9">
        <f t="shared" ca="1" si="35"/>
        <v>7127538.0814855248</v>
      </c>
    </row>
    <row r="767" spans="1:5" x14ac:dyDescent="0.35">
      <c r="A767">
        <v>754</v>
      </c>
      <c r="B767">
        <f t="shared" ca="1" si="33"/>
        <v>3.9534530331237758E-2</v>
      </c>
      <c r="C767">
        <f t="shared" ca="1" si="34"/>
        <v>0.25805386844221401</v>
      </c>
      <c r="D767" s="9">
        <f ca="1">Assumptions!B$3*(1+B767)^24*(1-C767/12)^24</f>
        <v>686470.7838139293</v>
      </c>
      <c r="E767" s="9">
        <f t="shared" ca="1" si="35"/>
        <v>8237649.4057671521</v>
      </c>
    </row>
    <row r="768" spans="1:5" x14ac:dyDescent="0.35">
      <c r="A768">
        <v>755</v>
      </c>
      <c r="B768">
        <f t="shared" ca="1" si="33"/>
        <v>4.1647317810109996E-2</v>
      </c>
      <c r="C768">
        <f t="shared" ca="1" si="34"/>
        <v>0.264103483971386</v>
      </c>
      <c r="D768" s="9">
        <f ca="1">Assumptions!B$3*(1+B768)^24*(1-C768/12)^24</f>
        <v>711890.64130412485</v>
      </c>
      <c r="E768" s="9">
        <f t="shared" ca="1" si="35"/>
        <v>8542687.6956494972</v>
      </c>
    </row>
    <row r="769" spans="1:5" x14ac:dyDescent="0.35">
      <c r="A769">
        <v>756</v>
      </c>
      <c r="B769">
        <f t="shared" ca="1" si="33"/>
        <v>2.0574549773338568E-2</v>
      </c>
      <c r="C769">
        <f t="shared" ca="1" si="34"/>
        <v>0.22547488954816322</v>
      </c>
      <c r="D769" s="9">
        <f ca="1">Assumptions!B$3*(1+B769)^24*(1-C769/12)^24</f>
        <v>471673.19454390166</v>
      </c>
      <c r="E769" s="9">
        <f t="shared" ca="1" si="35"/>
        <v>5660078.3345268201</v>
      </c>
    </row>
    <row r="770" spans="1:5" x14ac:dyDescent="0.35">
      <c r="A770">
        <v>757</v>
      </c>
      <c r="B770">
        <f t="shared" ca="1" si="33"/>
        <v>3.1026854336967464E-2</v>
      </c>
      <c r="C770">
        <f t="shared" ca="1" si="34"/>
        <v>0.25788346037623178</v>
      </c>
      <c r="D770" s="9">
        <f ca="1">Assumptions!B$3*(1+B770)^24*(1-C770/12)^24</f>
        <v>563791.72667707782</v>
      </c>
      <c r="E770" s="9">
        <f t="shared" ca="1" si="35"/>
        <v>6765500.7201249339</v>
      </c>
    </row>
    <row r="771" spans="1:5" x14ac:dyDescent="0.35">
      <c r="A771">
        <v>758</v>
      </c>
      <c r="B771">
        <f t="shared" ca="1" si="33"/>
        <v>4.9520788875752987E-2</v>
      </c>
      <c r="C771">
        <f t="shared" ca="1" si="34"/>
        <v>0.26742078465747798</v>
      </c>
      <c r="D771" s="9">
        <f ca="1">Assumptions!B$3*(1+B771)^24*(1-C771/12)^24</f>
        <v>847139.53144763957</v>
      </c>
      <c r="E771" s="9">
        <f t="shared" ca="1" si="35"/>
        <v>10165674.377371674</v>
      </c>
    </row>
    <row r="772" spans="1:5" x14ac:dyDescent="0.35">
      <c r="A772">
        <v>759</v>
      </c>
      <c r="B772">
        <f t="shared" ca="1" si="33"/>
        <v>2.5557370389119961E-2</v>
      </c>
      <c r="C772">
        <f t="shared" ca="1" si="34"/>
        <v>0.28940509902064426</v>
      </c>
      <c r="D772" s="9">
        <f ca="1">Assumptions!B$3*(1+B772)^24*(1-C772/12)^24</f>
        <v>465221.74450107635</v>
      </c>
      <c r="E772" s="9">
        <f t="shared" ca="1" si="35"/>
        <v>5582660.9340129159</v>
      </c>
    </row>
    <row r="773" spans="1:5" x14ac:dyDescent="0.35">
      <c r="A773">
        <v>760</v>
      </c>
      <c r="B773">
        <f t="shared" ca="1" si="33"/>
        <v>2.4519041639601315E-2</v>
      </c>
      <c r="C773">
        <f t="shared" ca="1" si="34"/>
        <v>0.28720754019373829</v>
      </c>
      <c r="D773" s="9">
        <f ca="1">Assumptions!B$3*(1+B773)^24*(1-C773/12)^24</f>
        <v>456097.35759980016</v>
      </c>
      <c r="E773" s="9">
        <f t="shared" ca="1" si="35"/>
        <v>5473168.2911976017</v>
      </c>
    </row>
    <row r="774" spans="1:5" x14ac:dyDescent="0.35">
      <c r="A774">
        <v>761</v>
      </c>
      <c r="B774">
        <f t="shared" ca="1" si="33"/>
        <v>1.8660562588175549E-2</v>
      </c>
      <c r="C774">
        <f t="shared" ca="1" si="34"/>
        <v>0.32836231319236708</v>
      </c>
      <c r="D774" s="9">
        <f ca="1">Assumptions!B$3*(1+B774)^24*(1-C774/12)^24</f>
        <v>365255.6507566509</v>
      </c>
      <c r="E774" s="9">
        <f t="shared" ca="1" si="35"/>
        <v>4383067.809079811</v>
      </c>
    </row>
    <row r="775" spans="1:5" x14ac:dyDescent="0.35">
      <c r="A775">
        <v>762</v>
      </c>
      <c r="B775">
        <f t="shared" ca="1" si="33"/>
        <v>3.5155721677239571E-2</v>
      </c>
      <c r="C775">
        <f t="shared" ca="1" si="34"/>
        <v>0.1892484877664499</v>
      </c>
      <c r="D775" s="9">
        <f ca="1">Assumptions!B$3*(1+B775)^24*(1-C775/12)^24</f>
        <v>713712.39449813042</v>
      </c>
      <c r="E775" s="9">
        <f t="shared" ca="1" si="35"/>
        <v>8564548.7339775655</v>
      </c>
    </row>
    <row r="776" spans="1:5" x14ac:dyDescent="0.35">
      <c r="A776">
        <v>763</v>
      </c>
      <c r="B776">
        <f t="shared" ca="1" si="33"/>
        <v>1.9443494231708228E-2</v>
      </c>
      <c r="C776">
        <f t="shared" ca="1" si="34"/>
        <v>0.30718387842928857</v>
      </c>
      <c r="D776" s="9">
        <f ca="1">Assumptions!B$3*(1+B776)^24*(1-C776/12)^24</f>
        <v>388598.0925992307</v>
      </c>
      <c r="E776" s="9">
        <f t="shared" ca="1" si="35"/>
        <v>4663177.111190768</v>
      </c>
    </row>
    <row r="777" spans="1:5" x14ac:dyDescent="0.35">
      <c r="A777">
        <v>764</v>
      </c>
      <c r="B777">
        <f t="shared" ca="1" si="33"/>
        <v>4.3092267607318588E-2</v>
      </c>
      <c r="C777">
        <f t="shared" ca="1" si="34"/>
        <v>0.32382150093560819</v>
      </c>
      <c r="D777" s="9">
        <f ca="1">Assumptions!B$3*(1+B777)^24*(1-C777/12)^24</f>
        <v>651161.64619573788</v>
      </c>
      <c r="E777" s="9">
        <f t="shared" ca="1" si="35"/>
        <v>7813939.7543488545</v>
      </c>
    </row>
    <row r="778" spans="1:5" x14ac:dyDescent="0.35">
      <c r="A778">
        <v>765</v>
      </c>
      <c r="B778">
        <f t="shared" ca="1" si="33"/>
        <v>1.3529260566279431E-2</v>
      </c>
      <c r="C778">
        <f t="shared" ca="1" si="34"/>
        <v>0.22201640037347564</v>
      </c>
      <c r="D778" s="9">
        <f ca="1">Assumptions!B$3*(1+B778)^24*(1-C778/12)^24</f>
        <v>402253.33168869937</v>
      </c>
      <c r="E778" s="9">
        <f t="shared" ca="1" si="35"/>
        <v>4827039.9802643927</v>
      </c>
    </row>
    <row r="779" spans="1:5" x14ac:dyDescent="0.35">
      <c r="A779">
        <v>766</v>
      </c>
      <c r="B779">
        <f t="shared" ca="1" si="33"/>
        <v>2.9656526789909793E-2</v>
      </c>
      <c r="C779">
        <f t="shared" ca="1" si="34"/>
        <v>0.25210034887057814</v>
      </c>
      <c r="D779" s="9">
        <f ca="1">Assumptions!B$3*(1+B779)^24*(1-C779/12)^24</f>
        <v>552571.51276472805</v>
      </c>
      <c r="E779" s="9">
        <f t="shared" ca="1" si="35"/>
        <v>6630858.1531767361</v>
      </c>
    </row>
    <row r="780" spans="1:5" x14ac:dyDescent="0.35">
      <c r="A780">
        <v>767</v>
      </c>
      <c r="B780">
        <f t="shared" ca="1" si="33"/>
        <v>1.7177426966286789E-2</v>
      </c>
      <c r="C780">
        <f t="shared" ca="1" si="34"/>
        <v>0.21235866230376388</v>
      </c>
      <c r="D780" s="9">
        <f ca="1">Assumptions!B$3*(1+B780)^24*(1-C780/12)^24</f>
        <v>447190.96393459552</v>
      </c>
      <c r="E780" s="9">
        <f t="shared" ca="1" si="35"/>
        <v>5366291.5672151465</v>
      </c>
    </row>
    <row r="781" spans="1:5" x14ac:dyDescent="0.35">
      <c r="A781">
        <v>768</v>
      </c>
      <c r="B781">
        <f t="shared" ca="1" si="33"/>
        <v>2.3083508133410702E-2</v>
      </c>
      <c r="C781">
        <f t="shared" ca="1" si="34"/>
        <v>0.22986462488076376</v>
      </c>
      <c r="D781" s="9">
        <f ca="1">Assumptions!B$3*(1+B781)^24*(1-C781/12)^24</f>
        <v>495846.18911600212</v>
      </c>
      <c r="E781" s="9">
        <f t="shared" ca="1" si="35"/>
        <v>5950154.2693920257</v>
      </c>
    </row>
    <row r="782" spans="1:5" x14ac:dyDescent="0.35">
      <c r="A782">
        <v>769</v>
      </c>
      <c r="B782">
        <f t="shared" ca="1" si="33"/>
        <v>2.5824753560811261E-2</v>
      </c>
      <c r="C782">
        <f t="shared" ca="1" si="34"/>
        <v>0.24550689831096945</v>
      </c>
      <c r="D782" s="9">
        <f ca="1">Assumptions!B$3*(1+B782)^24*(1-C782/12)^24</f>
        <v>512124.90108308953</v>
      </c>
      <c r="E782" s="9">
        <f t="shared" ca="1" si="35"/>
        <v>6145498.8129970748</v>
      </c>
    </row>
    <row r="783" spans="1:5" x14ac:dyDescent="0.35">
      <c r="A783">
        <v>770</v>
      </c>
      <c r="B783">
        <f t="shared" ca="1" si="33"/>
        <v>2.1377555084580349E-2</v>
      </c>
      <c r="C783">
        <f t="shared" ca="1" si="34"/>
        <v>0.22670879624818238</v>
      </c>
      <c r="D783" s="9">
        <f ca="1">Assumptions!B$3*(1+B783)^24*(1-C783/12)^24</f>
        <v>479453.70431570394</v>
      </c>
      <c r="E783" s="9">
        <f t="shared" ca="1" si="35"/>
        <v>5753444.4517884478</v>
      </c>
    </row>
    <row r="784" spans="1:5" x14ac:dyDescent="0.35">
      <c r="A784">
        <v>771</v>
      </c>
      <c r="B784">
        <f t="shared" ref="B784:B847" ca="1" si="36">_xlfn.NORM.INV(RAND(), $B$4, $B$5)</f>
        <v>1.0546166025053798E-2</v>
      </c>
      <c r="C784">
        <f t="shared" ref="C784:C847" ca="1" si="37">+_xlfn.NORM.INV(RAND(), $B$6, $B$7)</f>
        <v>0.29774496566810177</v>
      </c>
      <c r="D784" s="9">
        <f ca="1">Assumptions!B$3*(1+B784)^24*(1-C784/12)^24</f>
        <v>321028.20585330413</v>
      </c>
      <c r="E784" s="9">
        <f t="shared" ref="E784:E847" ca="1" si="38">D784*12</f>
        <v>3852338.4702396495</v>
      </c>
    </row>
    <row r="785" spans="1:5" x14ac:dyDescent="0.35">
      <c r="A785">
        <v>772</v>
      </c>
      <c r="B785">
        <f t="shared" ca="1" si="36"/>
        <v>4.4841896446019963E-2</v>
      </c>
      <c r="C785">
        <f t="shared" ca="1" si="37"/>
        <v>0.24435084076960506</v>
      </c>
      <c r="D785" s="9">
        <f ca="1">Assumptions!B$3*(1+B785)^24*(1-C785/12)^24</f>
        <v>797735.01590489247</v>
      </c>
      <c r="E785" s="9">
        <f t="shared" ca="1" si="38"/>
        <v>9572820.1908587106</v>
      </c>
    </row>
    <row r="786" spans="1:5" x14ac:dyDescent="0.35">
      <c r="A786">
        <v>773</v>
      </c>
      <c r="B786">
        <f t="shared" ca="1" si="36"/>
        <v>2.227552669498788E-2</v>
      </c>
      <c r="C786">
        <f t="shared" ca="1" si="37"/>
        <v>0.34436081759139042</v>
      </c>
      <c r="D786" s="9">
        <f ca="1">Assumptions!B$3*(1+B786)^24*(1-C786/12)^24</f>
        <v>384789.6486978769</v>
      </c>
      <c r="E786" s="9">
        <f t="shared" ca="1" si="38"/>
        <v>4617475.784374523</v>
      </c>
    </row>
    <row r="787" spans="1:5" x14ac:dyDescent="0.35">
      <c r="A787">
        <v>774</v>
      </c>
      <c r="B787">
        <f t="shared" ca="1" si="36"/>
        <v>3.619562115013094E-2</v>
      </c>
      <c r="C787">
        <f t="shared" ca="1" si="37"/>
        <v>0.2449662964368407</v>
      </c>
      <c r="D787" s="9">
        <f ca="1">Assumptions!B$3*(1+B787)^24*(1-C787/12)^24</f>
        <v>652681.23264572036</v>
      </c>
      <c r="E787" s="9">
        <f t="shared" ca="1" si="38"/>
        <v>7832174.7917486448</v>
      </c>
    </row>
    <row r="788" spans="1:5" x14ac:dyDescent="0.35">
      <c r="A788">
        <v>775</v>
      </c>
      <c r="B788">
        <f t="shared" ca="1" si="36"/>
        <v>4.0307359953006841E-2</v>
      </c>
      <c r="C788">
        <f t="shared" ca="1" si="37"/>
        <v>0.31798604225832222</v>
      </c>
      <c r="D788" s="9">
        <f ca="1">Assumptions!B$3*(1+B788)^24*(1-C788/12)^24</f>
        <v>618061.05287095124</v>
      </c>
      <c r="E788" s="9">
        <f t="shared" ca="1" si="38"/>
        <v>7416732.6344514154</v>
      </c>
    </row>
    <row r="789" spans="1:5" x14ac:dyDescent="0.35">
      <c r="A789">
        <v>776</v>
      </c>
      <c r="B789">
        <f t="shared" ca="1" si="36"/>
        <v>4.4353066291581096E-2</v>
      </c>
      <c r="C789">
        <f t="shared" ca="1" si="37"/>
        <v>0.23624023126816737</v>
      </c>
      <c r="D789" s="9">
        <f ca="1">Assumptions!B$3*(1+B789)^24*(1-C789/12)^24</f>
        <v>801991.58514244831</v>
      </c>
      <c r="E789" s="9">
        <f t="shared" ca="1" si="38"/>
        <v>9623899.0217093788</v>
      </c>
    </row>
    <row r="790" spans="1:5" x14ac:dyDescent="0.35">
      <c r="A790">
        <v>777</v>
      </c>
      <c r="B790">
        <f t="shared" ca="1" si="36"/>
        <v>4.1920649401953156E-2</v>
      </c>
      <c r="C790">
        <f t="shared" ca="1" si="37"/>
        <v>0.25883798333073121</v>
      </c>
      <c r="D790" s="9">
        <f ca="1">Assumptions!B$3*(1+B790)^24*(1-C790/12)^24</f>
        <v>724141.43947732274</v>
      </c>
      <c r="E790" s="9">
        <f t="shared" ca="1" si="38"/>
        <v>8689697.2737278733</v>
      </c>
    </row>
    <row r="791" spans="1:5" x14ac:dyDescent="0.35">
      <c r="A791">
        <v>778</v>
      </c>
      <c r="B791">
        <f t="shared" ca="1" si="36"/>
        <v>3.7899668626152946E-2</v>
      </c>
      <c r="C791">
        <f t="shared" ca="1" si="37"/>
        <v>0.27373176762293761</v>
      </c>
      <c r="D791" s="9">
        <f ca="1">Assumptions!B$3*(1+B791)^24*(1-C791/12)^24</f>
        <v>640163.2127965407</v>
      </c>
      <c r="E791" s="9">
        <f t="shared" ca="1" si="38"/>
        <v>7681958.5535584884</v>
      </c>
    </row>
    <row r="792" spans="1:5" x14ac:dyDescent="0.35">
      <c r="A792">
        <v>779</v>
      </c>
      <c r="B792">
        <f t="shared" ca="1" si="36"/>
        <v>3.0783984614659109E-2</v>
      </c>
      <c r="C792">
        <f t="shared" ca="1" si="37"/>
        <v>0.25594576584709633</v>
      </c>
      <c r="D792" s="9">
        <f ca="1">Assumptions!B$3*(1+B792)^24*(1-C792/12)^24</f>
        <v>562837.49703618558</v>
      </c>
      <c r="E792" s="9">
        <f t="shared" ca="1" si="38"/>
        <v>6754049.964434227</v>
      </c>
    </row>
    <row r="793" spans="1:5" x14ac:dyDescent="0.35">
      <c r="A793">
        <v>780</v>
      </c>
      <c r="B793">
        <f t="shared" ca="1" si="36"/>
        <v>2.7579325173928967E-2</v>
      </c>
      <c r="C793">
        <f t="shared" ca="1" si="37"/>
        <v>0.22887826566932756</v>
      </c>
      <c r="D793" s="9">
        <f ca="1">Assumptions!B$3*(1+B793)^24*(1-C793/12)^24</f>
        <v>551979.54561091587</v>
      </c>
      <c r="E793" s="9">
        <f t="shared" ca="1" si="38"/>
        <v>6623754.5473309904</v>
      </c>
    </row>
    <row r="794" spans="1:5" x14ac:dyDescent="0.35">
      <c r="A794">
        <v>781</v>
      </c>
      <c r="B794">
        <f t="shared" ca="1" si="36"/>
        <v>1.2418715387457632E-2</v>
      </c>
      <c r="C794">
        <f t="shared" ca="1" si="37"/>
        <v>0.33788520808188766</v>
      </c>
      <c r="D794" s="9">
        <f ca="1">Assumptions!B$3*(1+B794)^24*(1-C794/12)^24</f>
        <v>309047.62889114232</v>
      </c>
      <c r="E794" s="9">
        <f t="shared" ca="1" si="38"/>
        <v>3708571.5466937078</v>
      </c>
    </row>
    <row r="795" spans="1:5" x14ac:dyDescent="0.35">
      <c r="A795">
        <v>782</v>
      </c>
      <c r="B795">
        <f t="shared" ca="1" si="36"/>
        <v>1.7981696721430927E-2</v>
      </c>
      <c r="C795">
        <f t="shared" ca="1" si="37"/>
        <v>0.20708228037205589</v>
      </c>
      <c r="D795" s="9">
        <f ca="1">Assumptions!B$3*(1+B795)^24*(1-C795/12)^24</f>
        <v>460676.1014437523</v>
      </c>
      <c r="E795" s="9">
        <f t="shared" ca="1" si="38"/>
        <v>5528113.217325028</v>
      </c>
    </row>
    <row r="796" spans="1:5" x14ac:dyDescent="0.35">
      <c r="A796">
        <v>783</v>
      </c>
      <c r="B796">
        <f t="shared" ca="1" si="36"/>
        <v>4.2326628420708487E-2</v>
      </c>
      <c r="C796">
        <f t="shared" ca="1" si="37"/>
        <v>0.30688951224534416</v>
      </c>
      <c r="D796" s="9">
        <f ca="1">Assumptions!B$3*(1+B796)^24*(1-C796/12)^24</f>
        <v>662428.85547118634</v>
      </c>
      <c r="E796" s="9">
        <f t="shared" ca="1" si="38"/>
        <v>7949146.2656542361</v>
      </c>
    </row>
    <row r="797" spans="1:5" x14ac:dyDescent="0.35">
      <c r="A797">
        <v>784</v>
      </c>
      <c r="B797">
        <f t="shared" ca="1" si="36"/>
        <v>3.7566618909336505E-2</v>
      </c>
      <c r="C797">
        <f t="shared" ca="1" si="37"/>
        <v>0.2502643050205971</v>
      </c>
      <c r="D797" s="9">
        <f ca="1">Assumptions!B$3*(1+B797)^24*(1-C797/12)^24</f>
        <v>666475.35627032467</v>
      </c>
      <c r="E797" s="9">
        <f t="shared" ca="1" si="38"/>
        <v>7997704.2752438961</v>
      </c>
    </row>
    <row r="798" spans="1:5" x14ac:dyDescent="0.35">
      <c r="A798">
        <v>785</v>
      </c>
      <c r="B798">
        <f t="shared" ca="1" si="36"/>
        <v>2.1923151556837793E-2</v>
      </c>
      <c r="C798">
        <f t="shared" ca="1" si="37"/>
        <v>0.21101740850752765</v>
      </c>
      <c r="D798" s="9">
        <f ca="1">Assumptions!B$3*(1+B798)^24*(1-C798/12)^24</f>
        <v>501412.9222363825</v>
      </c>
      <c r="E798" s="9">
        <f t="shared" ca="1" si="38"/>
        <v>6016955.0668365899</v>
      </c>
    </row>
    <row r="799" spans="1:5" x14ac:dyDescent="0.35">
      <c r="A799">
        <v>786</v>
      </c>
      <c r="B799">
        <f t="shared" ca="1" si="36"/>
        <v>3.3250575156167736E-2</v>
      </c>
      <c r="C799">
        <f t="shared" ca="1" si="37"/>
        <v>0.33355512925937653</v>
      </c>
      <c r="D799" s="9">
        <f ca="1">Assumptions!B$3*(1+B799)^24*(1-C799/12)^24</f>
        <v>508377.7158913142</v>
      </c>
      <c r="E799" s="9">
        <f t="shared" ca="1" si="38"/>
        <v>6100532.5906957705</v>
      </c>
    </row>
    <row r="800" spans="1:5" x14ac:dyDescent="0.35">
      <c r="A800">
        <v>787</v>
      </c>
      <c r="B800">
        <f t="shared" ca="1" si="36"/>
        <v>3.9226910702333896E-2</v>
      </c>
      <c r="C800">
        <f t="shared" ca="1" si="37"/>
        <v>0.28804064514979344</v>
      </c>
      <c r="D800" s="9">
        <f ca="1">Assumptions!B$3*(1+B800)^24*(1-C800/12)^24</f>
        <v>641039.14695922681</v>
      </c>
      <c r="E800" s="9">
        <f t="shared" ca="1" si="38"/>
        <v>7692469.7635107217</v>
      </c>
    </row>
    <row r="801" spans="1:5" x14ac:dyDescent="0.35">
      <c r="A801">
        <v>788</v>
      </c>
      <c r="B801">
        <f t="shared" ca="1" si="36"/>
        <v>5.1568993997443052E-2</v>
      </c>
      <c r="C801">
        <f t="shared" ca="1" si="37"/>
        <v>0.2520830641511182</v>
      </c>
      <c r="D801" s="9">
        <f ca="1">Assumptions!B$3*(1+B801)^24*(1-C801/12)^24</f>
        <v>915995.45558569359</v>
      </c>
      <c r="E801" s="9">
        <f t="shared" ca="1" si="38"/>
        <v>10991945.467028324</v>
      </c>
    </row>
    <row r="802" spans="1:5" x14ac:dyDescent="0.35">
      <c r="A802">
        <v>789</v>
      </c>
      <c r="B802">
        <f t="shared" ca="1" si="36"/>
        <v>4.2007969450365251E-2</v>
      </c>
      <c r="C802">
        <f t="shared" ca="1" si="37"/>
        <v>0.30220131781674381</v>
      </c>
      <c r="D802" s="9">
        <f ca="1">Assumptions!B$3*(1+B802)^24*(1-C802/12)^24</f>
        <v>663942.357711914</v>
      </c>
      <c r="E802" s="9">
        <f t="shared" ca="1" si="38"/>
        <v>7967308.2925429679</v>
      </c>
    </row>
    <row r="803" spans="1:5" x14ac:dyDescent="0.35">
      <c r="A803">
        <v>790</v>
      </c>
      <c r="B803">
        <f t="shared" ca="1" si="36"/>
        <v>3.312765801147504E-2</v>
      </c>
      <c r="C803">
        <f t="shared" ca="1" si="37"/>
        <v>0.25937897844756552</v>
      </c>
      <c r="D803" s="9">
        <f ca="1">Assumptions!B$3*(1+B803)^24*(1-C803/12)^24</f>
        <v>590211.08421989565</v>
      </c>
      <c r="E803" s="9">
        <f t="shared" ca="1" si="38"/>
        <v>7082533.0106387474</v>
      </c>
    </row>
    <row r="804" spans="1:5" x14ac:dyDescent="0.35">
      <c r="A804">
        <v>791</v>
      </c>
      <c r="B804">
        <f t="shared" ca="1" si="36"/>
        <v>4.1402697779358968E-2</v>
      </c>
      <c r="C804">
        <f t="shared" ca="1" si="37"/>
        <v>0.24907556523017685</v>
      </c>
      <c r="D804" s="9">
        <f ca="1">Assumptions!B$3*(1+B804)^24*(1-C804/12)^24</f>
        <v>729967.52389836486</v>
      </c>
      <c r="E804" s="9">
        <f t="shared" ca="1" si="38"/>
        <v>8759610.2867803778</v>
      </c>
    </row>
    <row r="805" spans="1:5" x14ac:dyDescent="0.35">
      <c r="A805">
        <v>792</v>
      </c>
      <c r="B805">
        <f t="shared" ca="1" si="36"/>
        <v>2.3263954864472258E-2</v>
      </c>
      <c r="C805">
        <f t="shared" ca="1" si="37"/>
        <v>0.2769700047465275</v>
      </c>
      <c r="D805" s="9">
        <f ca="1">Assumptions!B$3*(1+B805)^24*(1-C805/12)^24</f>
        <v>452259.01048253704</v>
      </c>
      <c r="E805" s="9">
        <f t="shared" ca="1" si="38"/>
        <v>5427108.1257904442</v>
      </c>
    </row>
    <row r="806" spans="1:5" x14ac:dyDescent="0.35">
      <c r="A806">
        <v>793</v>
      </c>
      <c r="B806">
        <f t="shared" ca="1" si="36"/>
        <v>1.1388716006031505E-2</v>
      </c>
      <c r="C806">
        <f t="shared" ca="1" si="37"/>
        <v>0.33046074538837622</v>
      </c>
      <c r="D806" s="9">
        <f ca="1">Assumptions!B$3*(1+B806)^24*(1-C806/12)^24</f>
        <v>306231.23755473329</v>
      </c>
      <c r="E806" s="9">
        <f t="shared" ca="1" si="38"/>
        <v>3674774.8506567995</v>
      </c>
    </row>
    <row r="807" spans="1:5" x14ac:dyDescent="0.35">
      <c r="A807">
        <v>794</v>
      </c>
      <c r="B807">
        <f t="shared" ca="1" si="36"/>
        <v>2.6140118815542526E-2</v>
      </c>
      <c r="C807">
        <f t="shared" ca="1" si="37"/>
        <v>0.25802482476525251</v>
      </c>
      <c r="D807" s="9">
        <f ca="1">Assumptions!B$3*(1+B807)^24*(1-C807/12)^24</f>
        <v>502890.90497739828</v>
      </c>
      <c r="E807" s="9">
        <f t="shared" ca="1" si="38"/>
        <v>6034690.8597287796</v>
      </c>
    </row>
    <row r="808" spans="1:5" x14ac:dyDescent="0.35">
      <c r="A808">
        <v>795</v>
      </c>
      <c r="B808">
        <f t="shared" ca="1" si="36"/>
        <v>3.2383749764307836E-2</v>
      </c>
      <c r="C808">
        <f t="shared" ca="1" si="37"/>
        <v>0.30337844845397166</v>
      </c>
      <c r="D808" s="9">
        <f ca="1">Assumptions!B$3*(1+B808)^24*(1-C808/12)^24</f>
        <v>530107.96811057033</v>
      </c>
      <c r="E808" s="9">
        <f t="shared" ca="1" si="38"/>
        <v>6361295.6173268445</v>
      </c>
    </row>
    <row r="809" spans="1:5" x14ac:dyDescent="0.35">
      <c r="A809">
        <v>796</v>
      </c>
      <c r="B809">
        <f t="shared" ca="1" si="36"/>
        <v>2.927267602622179E-2</v>
      </c>
      <c r="C809">
        <f t="shared" ca="1" si="37"/>
        <v>0.28235819758665764</v>
      </c>
      <c r="D809" s="9">
        <f ca="1">Assumptions!B$3*(1+B809)^24*(1-C809/12)^24</f>
        <v>514780.22213300026</v>
      </c>
      <c r="E809" s="9">
        <f t="shared" ca="1" si="38"/>
        <v>6177362.6655960027</v>
      </c>
    </row>
    <row r="810" spans="1:5" x14ac:dyDescent="0.35">
      <c r="A810">
        <v>797</v>
      </c>
      <c r="B810">
        <f t="shared" ca="1" si="36"/>
        <v>1.7843651375144928E-2</v>
      </c>
      <c r="C810">
        <f t="shared" ca="1" si="37"/>
        <v>0.18209465522418888</v>
      </c>
      <c r="D810" s="9">
        <f ca="1">Assumptions!B$3*(1+B810)^24*(1-C810/12)^24</f>
        <v>483107.60838408291</v>
      </c>
      <c r="E810" s="9">
        <f t="shared" ca="1" si="38"/>
        <v>5797291.3006089944</v>
      </c>
    </row>
    <row r="811" spans="1:5" x14ac:dyDescent="0.35">
      <c r="A811">
        <v>798</v>
      </c>
      <c r="B811">
        <f t="shared" ca="1" si="36"/>
        <v>3.6642894306146194E-2</v>
      </c>
      <c r="C811">
        <f t="shared" ca="1" si="37"/>
        <v>0.22265871046530805</v>
      </c>
      <c r="D811" s="9">
        <f ca="1">Assumptions!B$3*(1+B811)^24*(1-C811/12)^24</f>
        <v>690176.91233158694</v>
      </c>
      <c r="E811" s="9">
        <f t="shared" ca="1" si="38"/>
        <v>8282122.9479790432</v>
      </c>
    </row>
    <row r="812" spans="1:5" x14ac:dyDescent="0.35">
      <c r="A812">
        <v>799</v>
      </c>
      <c r="B812">
        <f t="shared" ca="1" si="36"/>
        <v>3.0617439095468438E-2</v>
      </c>
      <c r="C812">
        <f t="shared" ca="1" si="37"/>
        <v>0.27540137773161244</v>
      </c>
      <c r="D812" s="9">
        <f ca="1">Assumptions!B$3*(1+B812)^24*(1-C812/12)^24</f>
        <v>538787.20869985106</v>
      </c>
      <c r="E812" s="9">
        <f t="shared" ca="1" si="38"/>
        <v>6465446.5043982128</v>
      </c>
    </row>
    <row r="813" spans="1:5" x14ac:dyDescent="0.35">
      <c r="A813">
        <v>800</v>
      </c>
      <c r="B813">
        <f t="shared" ca="1" si="36"/>
        <v>3.8141503644544869E-2</v>
      </c>
      <c r="C813">
        <f t="shared" ca="1" si="37"/>
        <v>0.13370971491685366</v>
      </c>
      <c r="D813" s="9">
        <f ca="1">Assumptions!B$3*(1+B813)^24*(1-C813/12)^24</f>
        <v>855938.39269672742</v>
      </c>
      <c r="E813" s="9">
        <f t="shared" ca="1" si="38"/>
        <v>10271260.712360729</v>
      </c>
    </row>
    <row r="814" spans="1:5" x14ac:dyDescent="0.35">
      <c r="A814">
        <v>801</v>
      </c>
      <c r="B814">
        <f t="shared" ca="1" si="36"/>
        <v>3.0284603583010411E-2</v>
      </c>
      <c r="C814">
        <f t="shared" ca="1" si="37"/>
        <v>0.29010698985835925</v>
      </c>
      <c r="D814" s="9">
        <f ca="1">Assumptions!B$3*(1+B814)^24*(1-C814/12)^24</f>
        <v>518763.31771119614</v>
      </c>
      <c r="E814" s="9">
        <f t="shared" ca="1" si="38"/>
        <v>6225159.8125343537</v>
      </c>
    </row>
    <row r="815" spans="1:5" x14ac:dyDescent="0.35">
      <c r="A815">
        <v>802</v>
      </c>
      <c r="B815">
        <f t="shared" ca="1" si="36"/>
        <v>4.2460706173083743E-2</v>
      </c>
      <c r="C815">
        <f t="shared" ca="1" si="37"/>
        <v>0.22609540883097598</v>
      </c>
      <c r="D815" s="9">
        <f ca="1">Assumptions!B$3*(1+B815)^24*(1-C815/12)^24</f>
        <v>783882.41363731876</v>
      </c>
      <c r="E815" s="9">
        <f t="shared" ca="1" si="38"/>
        <v>9406588.9636478256</v>
      </c>
    </row>
    <row r="816" spans="1:5" x14ac:dyDescent="0.35">
      <c r="A816">
        <v>803</v>
      </c>
      <c r="B816">
        <f t="shared" ca="1" si="36"/>
        <v>3.7856954030066732E-2</v>
      </c>
      <c r="C816">
        <f t="shared" ca="1" si="37"/>
        <v>0.26343733939611008</v>
      </c>
      <c r="D816" s="9">
        <f ca="1">Assumptions!B$3*(1+B816)^24*(1-C816/12)^24</f>
        <v>653142.71361394855</v>
      </c>
      <c r="E816" s="9">
        <f t="shared" ca="1" si="38"/>
        <v>7837712.5633673826</v>
      </c>
    </row>
    <row r="817" spans="1:5" x14ac:dyDescent="0.35">
      <c r="A817">
        <v>804</v>
      </c>
      <c r="B817">
        <f t="shared" ca="1" si="36"/>
        <v>3.8854755093238658E-2</v>
      </c>
      <c r="C817">
        <f t="shared" ca="1" si="37"/>
        <v>0.29717317662551662</v>
      </c>
      <c r="D817" s="9">
        <f ca="1">Assumptions!B$3*(1+B817)^24*(1-C817/12)^24</f>
        <v>623764.45639083826</v>
      </c>
      <c r="E817" s="9">
        <f t="shared" ca="1" si="38"/>
        <v>7485173.4766900595</v>
      </c>
    </row>
    <row r="818" spans="1:5" x14ac:dyDescent="0.35">
      <c r="A818">
        <v>805</v>
      </c>
      <c r="B818">
        <f t="shared" ca="1" si="36"/>
        <v>2.9846051908740779E-2</v>
      </c>
      <c r="C818">
        <f t="shared" ca="1" si="37"/>
        <v>0.25438141612633153</v>
      </c>
      <c r="D818" s="9">
        <f ca="1">Assumptions!B$3*(1+B818)^24*(1-C818/12)^24</f>
        <v>552437.0880364672</v>
      </c>
      <c r="E818" s="9">
        <f t="shared" ca="1" si="38"/>
        <v>6629245.056437606</v>
      </c>
    </row>
    <row r="819" spans="1:5" x14ac:dyDescent="0.35">
      <c r="A819">
        <v>806</v>
      </c>
      <c r="B819">
        <f t="shared" ca="1" si="36"/>
        <v>4.2900973690733694E-2</v>
      </c>
      <c r="C819">
        <f t="shared" ca="1" si="37"/>
        <v>0.24379429468916095</v>
      </c>
      <c r="D819" s="9">
        <f ca="1">Assumptions!B$3*(1+B819)^24*(1-C819/12)^24</f>
        <v>763786.4708819862</v>
      </c>
      <c r="E819" s="9">
        <f t="shared" ca="1" si="38"/>
        <v>9165437.6505838335</v>
      </c>
    </row>
    <row r="820" spans="1:5" x14ac:dyDescent="0.35">
      <c r="A820">
        <v>807</v>
      </c>
      <c r="B820">
        <f t="shared" ca="1" si="36"/>
        <v>3.2193788356758103E-2</v>
      </c>
      <c r="C820">
        <f t="shared" ca="1" si="37"/>
        <v>0.35345359049971192</v>
      </c>
      <c r="D820" s="9">
        <f ca="1">Assumptions!B$3*(1+B820)^24*(1-C820/12)^24</f>
        <v>476132.29611241608</v>
      </c>
      <c r="E820" s="9">
        <f t="shared" ca="1" si="38"/>
        <v>5713587.553348993</v>
      </c>
    </row>
    <row r="821" spans="1:5" x14ac:dyDescent="0.35">
      <c r="A821">
        <v>808</v>
      </c>
      <c r="B821">
        <f t="shared" ca="1" si="36"/>
        <v>3.3138837881472205E-2</v>
      </c>
      <c r="C821">
        <f t="shared" ca="1" si="37"/>
        <v>0.2144141221620928</v>
      </c>
      <c r="D821" s="9">
        <f ca="1">Assumptions!B$3*(1+B821)^24*(1-C821/12)^24</f>
        <v>647087.07543952053</v>
      </c>
      <c r="E821" s="9">
        <f t="shared" ca="1" si="38"/>
        <v>7765044.9052742459</v>
      </c>
    </row>
    <row r="822" spans="1:5" x14ac:dyDescent="0.35">
      <c r="A822">
        <v>809</v>
      </c>
      <c r="B822">
        <f t="shared" ca="1" si="36"/>
        <v>3.5366660003980824E-2</v>
      </c>
      <c r="C822">
        <f t="shared" ca="1" si="37"/>
        <v>0.31843096458750642</v>
      </c>
      <c r="D822" s="9">
        <f ca="1">Assumptions!B$3*(1+B822)^24*(1-C822/12)^24</f>
        <v>550826.10841671878</v>
      </c>
      <c r="E822" s="9">
        <f t="shared" ca="1" si="38"/>
        <v>6609913.3010006249</v>
      </c>
    </row>
    <row r="823" spans="1:5" x14ac:dyDescent="0.35">
      <c r="A823">
        <v>810</v>
      </c>
      <c r="B823">
        <f t="shared" ca="1" si="36"/>
        <v>1.8771717877501697E-2</v>
      </c>
      <c r="C823">
        <f t="shared" ca="1" si="37"/>
        <v>0.28359186736389969</v>
      </c>
      <c r="D823" s="9">
        <f ca="1">Assumptions!B$3*(1+B823)^24*(1-C823/12)^24</f>
        <v>401456.86793133756</v>
      </c>
      <c r="E823" s="9">
        <f t="shared" ca="1" si="38"/>
        <v>4817482.4151760507</v>
      </c>
    </row>
    <row r="824" spans="1:5" x14ac:dyDescent="0.35">
      <c r="A824">
        <v>811</v>
      </c>
      <c r="B824">
        <f t="shared" ca="1" si="36"/>
        <v>3.7289972548658019E-2</v>
      </c>
      <c r="C824">
        <f t="shared" ca="1" si="37"/>
        <v>0.24102688471620398</v>
      </c>
      <c r="D824" s="9">
        <f ca="1">Assumptions!B$3*(1+B824)^24*(1-C824/12)^24</f>
        <v>674832.23897780944</v>
      </c>
      <c r="E824" s="9">
        <f t="shared" ca="1" si="38"/>
        <v>8097986.8677337132</v>
      </c>
    </row>
    <row r="825" spans="1:5" x14ac:dyDescent="0.35">
      <c r="A825">
        <v>812</v>
      </c>
      <c r="B825">
        <f t="shared" ca="1" si="36"/>
        <v>3.0870581804202359E-2</v>
      </c>
      <c r="C825">
        <f t="shared" ca="1" si="37"/>
        <v>0.23757981920088947</v>
      </c>
      <c r="D825" s="9">
        <f ca="1">Assumptions!B$3*(1+B825)^24*(1-C825/12)^24</f>
        <v>585525.78790412156</v>
      </c>
      <c r="E825" s="9">
        <f t="shared" ca="1" si="38"/>
        <v>7026309.4548494592</v>
      </c>
    </row>
    <row r="826" spans="1:5" x14ac:dyDescent="0.35">
      <c r="A826">
        <v>813</v>
      </c>
      <c r="B826">
        <f t="shared" ca="1" si="36"/>
        <v>2.5294227939369786E-2</v>
      </c>
      <c r="C826">
        <f t="shared" ca="1" si="37"/>
        <v>0.27991297152347927</v>
      </c>
      <c r="D826" s="9">
        <f ca="1">Assumptions!B$3*(1+B826)^24*(1-C826/12)^24</f>
        <v>471444.25735468743</v>
      </c>
      <c r="E826" s="9">
        <f t="shared" ca="1" si="38"/>
        <v>5657331.0882562492</v>
      </c>
    </row>
    <row r="827" spans="1:5" x14ac:dyDescent="0.35">
      <c r="A827">
        <v>814</v>
      </c>
      <c r="B827">
        <f t="shared" ca="1" si="36"/>
        <v>3.3347459092881365E-2</v>
      </c>
      <c r="C827">
        <f t="shared" ca="1" si="37"/>
        <v>0.23281068925900056</v>
      </c>
      <c r="D827" s="9">
        <f ca="1">Assumptions!B$3*(1+B827)^24*(1-C827/12)^24</f>
        <v>626303.3951072346</v>
      </c>
      <c r="E827" s="9">
        <f t="shared" ca="1" si="38"/>
        <v>7515640.7412868151</v>
      </c>
    </row>
    <row r="828" spans="1:5" x14ac:dyDescent="0.35">
      <c r="A828">
        <v>815</v>
      </c>
      <c r="B828">
        <f t="shared" ca="1" si="36"/>
        <v>4.1052108774584151E-2</v>
      </c>
      <c r="C828">
        <f t="shared" ca="1" si="37"/>
        <v>0.27383418303462226</v>
      </c>
      <c r="D828" s="9">
        <f ca="1">Assumptions!B$3*(1+B828)^24*(1-C828/12)^24</f>
        <v>688351.01607798459</v>
      </c>
      <c r="E828" s="9">
        <f t="shared" ca="1" si="38"/>
        <v>8260212.1929358151</v>
      </c>
    </row>
    <row r="829" spans="1:5" x14ac:dyDescent="0.35">
      <c r="A829">
        <v>816</v>
      </c>
      <c r="B829">
        <f t="shared" ca="1" si="36"/>
        <v>4.4076090163585803E-2</v>
      </c>
      <c r="C829">
        <f t="shared" ca="1" si="37"/>
        <v>0.27825279607468845</v>
      </c>
      <c r="D829" s="9">
        <f ca="1">Assumptions!B$3*(1+B829)^24*(1-C829/12)^24</f>
        <v>731331.03613054578</v>
      </c>
      <c r="E829" s="9">
        <f t="shared" ca="1" si="38"/>
        <v>8775972.4335665498</v>
      </c>
    </row>
    <row r="830" spans="1:5" x14ac:dyDescent="0.35">
      <c r="A830">
        <v>817</v>
      </c>
      <c r="B830">
        <f t="shared" ca="1" si="36"/>
        <v>3.4188305906358359E-2</v>
      </c>
      <c r="C830">
        <f t="shared" ca="1" si="37"/>
        <v>0.31725615711704652</v>
      </c>
      <c r="D830" s="9">
        <f ca="1">Assumptions!B$3*(1+B830)^24*(1-C830/12)^24</f>
        <v>537271.02932926815</v>
      </c>
      <c r="E830" s="9">
        <f t="shared" ca="1" si="38"/>
        <v>6447252.3519512173</v>
      </c>
    </row>
    <row r="831" spans="1:5" x14ac:dyDescent="0.35">
      <c r="A831">
        <v>818</v>
      </c>
      <c r="B831">
        <f t="shared" ca="1" si="36"/>
        <v>2.6998465175125504E-2</v>
      </c>
      <c r="C831">
        <f t="shared" ca="1" si="37"/>
        <v>0.20906045009804489</v>
      </c>
      <c r="D831" s="9">
        <f ca="1">Assumptions!B$3*(1+B831)^24*(1-C831/12)^24</f>
        <v>566973.74737798097</v>
      </c>
      <c r="E831" s="9">
        <f t="shared" ca="1" si="38"/>
        <v>6803684.9685357716</v>
      </c>
    </row>
    <row r="832" spans="1:5" x14ac:dyDescent="0.35">
      <c r="A832">
        <v>819</v>
      </c>
      <c r="B832">
        <f t="shared" ca="1" si="36"/>
        <v>2.570201534146958E-2</v>
      </c>
      <c r="C832">
        <f t="shared" ca="1" si="37"/>
        <v>0.24762280141734364</v>
      </c>
      <c r="D832" s="9">
        <f ca="1">Assumptions!B$3*(1+B832)^24*(1-C832/12)^24</f>
        <v>508454.75261744938</v>
      </c>
      <c r="E832" s="9">
        <f t="shared" ca="1" si="38"/>
        <v>6101457.0314093921</v>
      </c>
    </row>
    <row r="833" spans="1:5" x14ac:dyDescent="0.35">
      <c r="A833">
        <v>820</v>
      </c>
      <c r="B833">
        <f t="shared" ca="1" si="36"/>
        <v>3.1304393344956771E-2</v>
      </c>
      <c r="C833">
        <f t="shared" ca="1" si="37"/>
        <v>0.24801367585704004</v>
      </c>
      <c r="D833" s="9">
        <f ca="1">Assumptions!B$3*(1+B833)^24*(1-C833/12)^24</f>
        <v>579003.85973631695</v>
      </c>
      <c r="E833" s="9">
        <f t="shared" ca="1" si="38"/>
        <v>6948046.3168358039</v>
      </c>
    </row>
    <row r="834" spans="1:5" x14ac:dyDescent="0.35">
      <c r="A834">
        <v>821</v>
      </c>
      <c r="B834">
        <f t="shared" ca="1" si="36"/>
        <v>4.6308016508628265E-2</v>
      </c>
      <c r="C834">
        <f t="shared" ca="1" si="37"/>
        <v>0.26431246864272873</v>
      </c>
      <c r="D834" s="9">
        <f ca="1">Assumptions!B$3*(1+B834)^24*(1-C834/12)^24</f>
        <v>792063.76158275642</v>
      </c>
      <c r="E834" s="9">
        <f t="shared" ca="1" si="38"/>
        <v>9504765.138993077</v>
      </c>
    </row>
    <row r="835" spans="1:5" x14ac:dyDescent="0.35">
      <c r="A835">
        <v>822</v>
      </c>
      <c r="B835">
        <f t="shared" ca="1" si="36"/>
        <v>2.5641102155729883E-2</v>
      </c>
      <c r="C835">
        <f t="shared" ca="1" si="37"/>
        <v>0.24240217148046514</v>
      </c>
      <c r="D835" s="9">
        <f ca="1">Assumptions!B$3*(1+B835)^24*(1-C835/12)^24</f>
        <v>513171.34409514762</v>
      </c>
      <c r="E835" s="9">
        <f t="shared" ca="1" si="38"/>
        <v>6158056.1291417712</v>
      </c>
    </row>
    <row r="836" spans="1:5" x14ac:dyDescent="0.35">
      <c r="A836">
        <v>823</v>
      </c>
      <c r="B836">
        <f t="shared" ca="1" si="36"/>
        <v>3.9298645718011338E-2</v>
      </c>
      <c r="C836">
        <f t="shared" ca="1" si="37"/>
        <v>0.19329831214033322</v>
      </c>
      <c r="D836" s="9">
        <f ca="1">Assumptions!B$3*(1+B836)^24*(1-C836/12)^24</f>
        <v>779077.77336825419</v>
      </c>
      <c r="E836" s="9">
        <f t="shared" ca="1" si="38"/>
        <v>9348933.2804190498</v>
      </c>
    </row>
    <row r="837" spans="1:5" x14ac:dyDescent="0.35">
      <c r="A837">
        <v>824</v>
      </c>
      <c r="B837">
        <f t="shared" ca="1" si="36"/>
        <v>1.0370298958977509E-2</v>
      </c>
      <c r="C837">
        <f t="shared" ca="1" si="37"/>
        <v>0.2492583439465198</v>
      </c>
      <c r="D837" s="9">
        <f ca="1">Assumptions!B$3*(1+B837)^24*(1-C837/12)^24</f>
        <v>353041.98692363547</v>
      </c>
      <c r="E837" s="9">
        <f t="shared" ca="1" si="38"/>
        <v>4236503.8430836257</v>
      </c>
    </row>
    <row r="838" spans="1:5" x14ac:dyDescent="0.35">
      <c r="A838">
        <v>825</v>
      </c>
      <c r="B838">
        <f t="shared" ca="1" si="36"/>
        <v>4.3401082147197789E-2</v>
      </c>
      <c r="C838">
        <f t="shared" ca="1" si="37"/>
        <v>0.29694990379489594</v>
      </c>
      <c r="D838" s="9">
        <f ca="1">Assumptions!B$3*(1+B838)^24*(1-C838/12)^24</f>
        <v>693001.69769629219</v>
      </c>
      <c r="E838" s="9">
        <f t="shared" ca="1" si="38"/>
        <v>8316020.3723555058</v>
      </c>
    </row>
    <row r="839" spans="1:5" x14ac:dyDescent="0.35">
      <c r="A839">
        <v>826</v>
      </c>
      <c r="B839">
        <f t="shared" ca="1" si="36"/>
        <v>2.33789824551522E-2</v>
      </c>
      <c r="C839">
        <f t="shared" ca="1" si="37"/>
        <v>0.25763929240433103</v>
      </c>
      <c r="D839" s="9">
        <f ca="1">Assumptions!B$3*(1+B839)^24*(1-C839/12)^24</f>
        <v>471771.6362191168</v>
      </c>
      <c r="E839" s="9">
        <f t="shared" ca="1" si="38"/>
        <v>5661259.6346294014</v>
      </c>
    </row>
    <row r="840" spans="1:5" x14ac:dyDescent="0.35">
      <c r="A840">
        <v>827</v>
      </c>
      <c r="B840">
        <f t="shared" ca="1" si="36"/>
        <v>4.5620553607467015E-2</v>
      </c>
      <c r="C840">
        <f t="shared" ca="1" si="37"/>
        <v>0.24752684521542204</v>
      </c>
      <c r="D840" s="9">
        <f ca="1">Assumptions!B$3*(1+B840)^24*(1-C840/12)^24</f>
        <v>806876.51999986102</v>
      </c>
      <c r="E840" s="9">
        <f t="shared" ca="1" si="38"/>
        <v>9682518.2399983332</v>
      </c>
    </row>
    <row r="841" spans="1:5" x14ac:dyDescent="0.35">
      <c r="A841">
        <v>828</v>
      </c>
      <c r="B841">
        <f t="shared" ca="1" si="36"/>
        <v>3.2555105093483708E-2</v>
      </c>
      <c r="C841">
        <f t="shared" ca="1" si="37"/>
        <v>0.27182077179812925</v>
      </c>
      <c r="D841" s="9">
        <f ca="1">Assumptions!B$3*(1+B841)^24*(1-C841/12)^24</f>
        <v>567777.20309105574</v>
      </c>
      <c r="E841" s="9">
        <f t="shared" ca="1" si="38"/>
        <v>6813326.4370926693</v>
      </c>
    </row>
    <row r="842" spans="1:5" x14ac:dyDescent="0.35">
      <c r="A842">
        <v>829</v>
      </c>
      <c r="B842">
        <f t="shared" ca="1" si="36"/>
        <v>5.0457274986893424E-2</v>
      </c>
      <c r="C842">
        <f t="shared" ca="1" si="37"/>
        <v>0.27402154485031693</v>
      </c>
      <c r="D842" s="9">
        <f ca="1">Assumptions!B$3*(1+B842)^24*(1-C842/12)^24</f>
        <v>853857.92567532207</v>
      </c>
      <c r="E842" s="9">
        <f t="shared" ca="1" si="38"/>
        <v>10246295.108103864</v>
      </c>
    </row>
    <row r="843" spans="1:5" x14ac:dyDescent="0.35">
      <c r="A843">
        <v>830</v>
      </c>
      <c r="B843">
        <f t="shared" ca="1" si="36"/>
        <v>3.1960209979092255E-2</v>
      </c>
      <c r="C843">
        <f t="shared" ca="1" si="37"/>
        <v>0.36229158713838427</v>
      </c>
      <c r="D843" s="9">
        <f ca="1">Assumptions!B$3*(1+B843)^24*(1-C843/12)^24</f>
        <v>465003.4170774378</v>
      </c>
      <c r="E843" s="9">
        <f t="shared" ca="1" si="38"/>
        <v>5580041.0049292538</v>
      </c>
    </row>
    <row r="844" spans="1:5" x14ac:dyDescent="0.35">
      <c r="A844">
        <v>831</v>
      </c>
      <c r="B844">
        <f t="shared" ca="1" si="36"/>
        <v>2.5804258981111661E-5</v>
      </c>
      <c r="C844">
        <f t="shared" ca="1" si="37"/>
        <v>0.25514770923747149</v>
      </c>
      <c r="D844" s="9">
        <f ca="1">Assumptions!B$3*(1+B844)^24*(1-C844/12)^24</f>
        <v>272481.07938559022</v>
      </c>
      <c r="E844" s="9">
        <f t="shared" ca="1" si="38"/>
        <v>3269772.9526270824</v>
      </c>
    </row>
    <row r="845" spans="1:5" x14ac:dyDescent="0.35">
      <c r="A845">
        <v>832</v>
      </c>
      <c r="B845">
        <f t="shared" ca="1" si="36"/>
        <v>4.0586450182091713E-2</v>
      </c>
      <c r="C845">
        <f t="shared" ca="1" si="37"/>
        <v>0.24720821461941048</v>
      </c>
      <c r="D845" s="9">
        <f ca="1">Assumptions!B$3*(1+B845)^24*(1-C845/12)^24</f>
        <v>719096.17990998703</v>
      </c>
      <c r="E845" s="9">
        <f t="shared" ca="1" si="38"/>
        <v>8629154.1589198448</v>
      </c>
    </row>
    <row r="846" spans="1:5" x14ac:dyDescent="0.35">
      <c r="A846">
        <v>833</v>
      </c>
      <c r="B846">
        <f t="shared" ca="1" si="36"/>
        <v>1.2871518256662141E-2</v>
      </c>
      <c r="C846">
        <f t="shared" ca="1" si="37"/>
        <v>0.33484123232790702</v>
      </c>
      <c r="D846" s="9">
        <f ca="1">Assumptions!B$3*(1+B846)^24*(1-C846/12)^24</f>
        <v>314344.80566026754</v>
      </c>
      <c r="E846" s="9">
        <f t="shared" ca="1" si="38"/>
        <v>3772137.6679232102</v>
      </c>
    </row>
    <row r="847" spans="1:5" x14ac:dyDescent="0.35">
      <c r="A847">
        <v>834</v>
      </c>
      <c r="B847">
        <f t="shared" ca="1" si="36"/>
        <v>4.2796581105726622E-2</v>
      </c>
      <c r="C847">
        <f t="shared" ca="1" si="37"/>
        <v>0.22932273009402121</v>
      </c>
      <c r="D847" s="9">
        <f ca="1">Assumptions!B$3*(1+B847)^24*(1-C847/12)^24</f>
        <v>784785.90777470788</v>
      </c>
      <c r="E847" s="9">
        <f t="shared" ca="1" si="38"/>
        <v>9417430.8932964951</v>
      </c>
    </row>
    <row r="848" spans="1:5" x14ac:dyDescent="0.35">
      <c r="A848">
        <v>835</v>
      </c>
      <c r="B848">
        <f t="shared" ref="B848:B911" ca="1" si="39">_xlfn.NORM.INV(RAND(), $B$4, $B$5)</f>
        <v>2.3007685728809794E-2</v>
      </c>
      <c r="C848">
        <f t="shared" ref="C848:C911" ca="1" si="40">+_xlfn.NORM.INV(RAND(), $B$6, $B$7)</f>
        <v>0.22586304208097818</v>
      </c>
      <c r="D848" s="9">
        <f ca="1">Assumptions!B$3*(1+B848)^24*(1-C848/12)^24</f>
        <v>499019.46706456487</v>
      </c>
      <c r="E848" s="9">
        <f t="shared" ref="E848:E911" ca="1" si="41">D848*12</f>
        <v>5988233.6047747787</v>
      </c>
    </row>
    <row r="849" spans="1:5" x14ac:dyDescent="0.35">
      <c r="A849">
        <v>836</v>
      </c>
      <c r="B849">
        <f t="shared" ca="1" si="39"/>
        <v>3.066139397822687E-2</v>
      </c>
      <c r="C849">
        <f t="shared" ca="1" si="40"/>
        <v>0.28183856146774716</v>
      </c>
      <c r="D849" s="9">
        <f ca="1">Assumptions!B$3*(1+B849)^24*(1-C849/12)^24</f>
        <v>532276.91209289851</v>
      </c>
      <c r="E849" s="9">
        <f t="shared" ca="1" si="41"/>
        <v>6387322.9451147821</v>
      </c>
    </row>
    <row r="850" spans="1:5" x14ac:dyDescent="0.35">
      <c r="A850">
        <v>837</v>
      </c>
      <c r="B850">
        <f t="shared" ca="1" si="39"/>
        <v>2.6854174943175539E-2</v>
      </c>
      <c r="C850">
        <f t="shared" ca="1" si="40"/>
        <v>0.19815034932966791</v>
      </c>
      <c r="D850" s="9">
        <f ca="1">Assumptions!B$3*(1+B850)^24*(1-C850/12)^24</f>
        <v>577747.92364447773</v>
      </c>
      <c r="E850" s="9">
        <f t="shared" ca="1" si="41"/>
        <v>6932975.0837337328</v>
      </c>
    </row>
    <row r="851" spans="1:5" x14ac:dyDescent="0.35">
      <c r="A851">
        <v>838</v>
      </c>
      <c r="B851">
        <f t="shared" ca="1" si="39"/>
        <v>4.0176850562487189E-2</v>
      </c>
      <c r="C851">
        <f t="shared" ca="1" si="40"/>
        <v>0.28919001587231313</v>
      </c>
      <c r="D851" s="9">
        <f ca="1">Assumptions!B$3*(1+B851)^24*(1-C851/12)^24</f>
        <v>653709.53156639158</v>
      </c>
      <c r="E851" s="9">
        <f t="shared" ca="1" si="41"/>
        <v>7844514.3787966985</v>
      </c>
    </row>
    <row r="852" spans="1:5" x14ac:dyDescent="0.35">
      <c r="A852">
        <v>839</v>
      </c>
      <c r="B852">
        <f t="shared" ca="1" si="39"/>
        <v>4.1531372751730279E-2</v>
      </c>
      <c r="C852">
        <f t="shared" ca="1" si="40"/>
        <v>0.15302106783233207</v>
      </c>
      <c r="D852" s="9">
        <f ca="1">Assumptions!B$3*(1+B852)^24*(1-C852/12)^24</f>
        <v>890113.33861709328</v>
      </c>
      <c r="E852" s="9">
        <f t="shared" ca="1" si="41"/>
        <v>10681360.063405119</v>
      </c>
    </row>
    <row r="853" spans="1:5" x14ac:dyDescent="0.35">
      <c r="A853">
        <v>840</v>
      </c>
      <c r="B853">
        <f t="shared" ca="1" si="39"/>
        <v>1.1753491162930334E-2</v>
      </c>
      <c r="C853">
        <f t="shared" ca="1" si="40"/>
        <v>0.28100962325611301</v>
      </c>
      <c r="D853" s="9">
        <f ca="1">Assumptions!B$3*(1+B853)^24*(1-C853/12)^24</f>
        <v>341887.95128350239</v>
      </c>
      <c r="E853" s="9">
        <f t="shared" ca="1" si="41"/>
        <v>4102655.4154020287</v>
      </c>
    </row>
    <row r="854" spans="1:5" x14ac:dyDescent="0.35">
      <c r="A854">
        <v>841</v>
      </c>
      <c r="B854">
        <f t="shared" ca="1" si="39"/>
        <v>2.6563873853134266E-2</v>
      </c>
      <c r="C854">
        <f t="shared" ca="1" si="40"/>
        <v>0.18606617501957179</v>
      </c>
      <c r="D854" s="9">
        <f ca="1">Assumptions!B$3*(1+B854)^24*(1-C854/12)^24</f>
        <v>588109.54595958826</v>
      </c>
      <c r="E854" s="9">
        <f t="shared" ca="1" si="41"/>
        <v>7057314.5515150595</v>
      </c>
    </row>
    <row r="855" spans="1:5" x14ac:dyDescent="0.35">
      <c r="A855">
        <v>842</v>
      </c>
      <c r="B855">
        <f t="shared" ca="1" si="39"/>
        <v>3.102480781635902E-2</v>
      </c>
      <c r="C855">
        <f t="shared" ca="1" si="40"/>
        <v>0.29625261947449599</v>
      </c>
      <c r="D855" s="9">
        <f ca="1">Assumptions!B$3*(1+B855)^24*(1-C855/12)^24</f>
        <v>521174.64152255119</v>
      </c>
      <c r="E855" s="9">
        <f t="shared" ca="1" si="41"/>
        <v>6254095.6982706143</v>
      </c>
    </row>
    <row r="856" spans="1:5" x14ac:dyDescent="0.35">
      <c r="A856">
        <v>843</v>
      </c>
      <c r="B856">
        <f t="shared" ca="1" si="39"/>
        <v>3.6350874980623629E-2</v>
      </c>
      <c r="C856">
        <f t="shared" ca="1" si="40"/>
        <v>0.21313402343899898</v>
      </c>
      <c r="D856" s="9">
        <f ca="1">Assumptions!B$3*(1+B856)^24*(1-C856/12)^24</f>
        <v>698956.10762414604</v>
      </c>
      <c r="E856" s="9">
        <f t="shared" ca="1" si="41"/>
        <v>8387473.291489752</v>
      </c>
    </row>
    <row r="857" spans="1:5" x14ac:dyDescent="0.35">
      <c r="A857">
        <v>844</v>
      </c>
      <c r="B857">
        <f t="shared" ca="1" si="39"/>
        <v>2.3280320257406395E-2</v>
      </c>
      <c r="C857">
        <f t="shared" ca="1" si="40"/>
        <v>0.25900117469382089</v>
      </c>
      <c r="D857" s="9">
        <f ca="1">Assumptions!B$3*(1+B857)^24*(1-C857/12)^24</f>
        <v>469372.85318752081</v>
      </c>
      <c r="E857" s="9">
        <f t="shared" ca="1" si="41"/>
        <v>5632474.23825025</v>
      </c>
    </row>
    <row r="858" spans="1:5" x14ac:dyDescent="0.35">
      <c r="A858">
        <v>845</v>
      </c>
      <c r="B858">
        <f t="shared" ca="1" si="39"/>
        <v>1.9558884897222996E-2</v>
      </c>
      <c r="C858">
        <f t="shared" ca="1" si="40"/>
        <v>0.26235384303883708</v>
      </c>
      <c r="D858" s="9">
        <f ca="1">Assumptions!B$3*(1+B858)^24*(1-C858/12)^24</f>
        <v>427135.64526069554</v>
      </c>
      <c r="E858" s="9">
        <f t="shared" ca="1" si="41"/>
        <v>5125627.7431283463</v>
      </c>
    </row>
    <row r="859" spans="1:5" x14ac:dyDescent="0.35">
      <c r="A859">
        <v>846</v>
      </c>
      <c r="B859">
        <f t="shared" ca="1" si="39"/>
        <v>4.2095278343093102E-2</v>
      </c>
      <c r="C859">
        <f t="shared" ca="1" si="40"/>
        <v>0.25894256581241676</v>
      </c>
      <c r="D859" s="9">
        <f ca="1">Assumptions!B$3*(1+B859)^24*(1-C859/12)^24</f>
        <v>726904.48583002412</v>
      </c>
      <c r="E859" s="9">
        <f t="shared" ca="1" si="41"/>
        <v>8722853.8299602903</v>
      </c>
    </row>
    <row r="860" spans="1:5" x14ac:dyDescent="0.35">
      <c r="A860">
        <v>847</v>
      </c>
      <c r="B860">
        <f t="shared" ca="1" si="39"/>
        <v>2.1362608756302207E-2</v>
      </c>
      <c r="C860">
        <f t="shared" ca="1" si="40"/>
        <v>0.35696329059844012</v>
      </c>
      <c r="D860" s="9">
        <f ca="1">Assumptions!B$3*(1+B860)^24*(1-C860/12)^24</f>
        <v>366973.99244139646</v>
      </c>
      <c r="E860" s="9">
        <f t="shared" ca="1" si="41"/>
        <v>4403687.9092967575</v>
      </c>
    </row>
    <row r="861" spans="1:5" x14ac:dyDescent="0.35">
      <c r="A861">
        <v>848</v>
      </c>
      <c r="B861">
        <f t="shared" ca="1" si="39"/>
        <v>2.2277362244683414E-2</v>
      </c>
      <c r="C861">
        <f t="shared" ca="1" si="40"/>
        <v>0.18084647975291673</v>
      </c>
      <c r="D861" s="9">
        <f ca="1">Assumptions!B$3*(1+B861)^24*(1-C861/12)^24</f>
        <v>537587.04288815695</v>
      </c>
      <c r="E861" s="9">
        <f t="shared" ca="1" si="41"/>
        <v>6451044.514657883</v>
      </c>
    </row>
    <row r="862" spans="1:5" x14ac:dyDescent="0.35">
      <c r="A862">
        <v>849</v>
      </c>
      <c r="B862">
        <f t="shared" ca="1" si="39"/>
        <v>2.8531480133782813E-2</v>
      </c>
      <c r="C862">
        <f t="shared" ca="1" si="40"/>
        <v>0.18921596342238917</v>
      </c>
      <c r="D862" s="9">
        <f ca="1">Assumptions!B$3*(1+B862)^24*(1-C862/12)^24</f>
        <v>611839.5990514271</v>
      </c>
      <c r="E862" s="9">
        <f t="shared" ca="1" si="41"/>
        <v>7342075.1886171252</v>
      </c>
    </row>
    <row r="863" spans="1:5" x14ac:dyDescent="0.35">
      <c r="A863">
        <v>850</v>
      </c>
      <c r="B863">
        <f t="shared" ca="1" si="39"/>
        <v>4.0324258650202852E-2</v>
      </c>
      <c r="C863">
        <f t="shared" ca="1" si="40"/>
        <v>0.26531178926570109</v>
      </c>
      <c r="D863" s="9">
        <f ca="1">Assumptions!B$3*(1+B863)^24*(1-C863/12)^24</f>
        <v>688799.31566217029</v>
      </c>
      <c r="E863" s="9">
        <f t="shared" ca="1" si="41"/>
        <v>8265591.7879460435</v>
      </c>
    </row>
    <row r="864" spans="1:5" x14ac:dyDescent="0.35">
      <c r="A864">
        <v>851</v>
      </c>
      <c r="B864">
        <f t="shared" ca="1" si="39"/>
        <v>2.727286476925839E-2</v>
      </c>
      <c r="C864">
        <f t="shared" ca="1" si="40"/>
        <v>0.26059629912256177</v>
      </c>
      <c r="D864" s="9">
        <f ca="1">Assumptions!B$3*(1+B864)^24*(1-C864/12)^24</f>
        <v>513677.41469594545</v>
      </c>
      <c r="E864" s="9">
        <f t="shared" ca="1" si="41"/>
        <v>6164128.976351345</v>
      </c>
    </row>
    <row r="865" spans="1:5" x14ac:dyDescent="0.35">
      <c r="A865">
        <v>852</v>
      </c>
      <c r="B865">
        <f t="shared" ca="1" si="39"/>
        <v>3.5733036139877085E-2</v>
      </c>
      <c r="C865">
        <f t="shared" ca="1" si="40"/>
        <v>0.29902522686965161</v>
      </c>
      <c r="D865" s="9">
        <f ca="1">Assumptions!B$3*(1+B865)^24*(1-C865/12)^24</f>
        <v>578099.90655928792</v>
      </c>
      <c r="E865" s="9">
        <f t="shared" ca="1" si="41"/>
        <v>6937198.8787114546</v>
      </c>
    </row>
    <row r="866" spans="1:5" x14ac:dyDescent="0.35">
      <c r="A866">
        <v>853</v>
      </c>
      <c r="B866">
        <f t="shared" ca="1" si="39"/>
        <v>3.3288958523727125E-2</v>
      </c>
      <c r="C866">
        <f t="shared" ca="1" si="40"/>
        <v>0.24867366384356393</v>
      </c>
      <c r="D866" s="9">
        <f ca="1">Assumptions!B$3*(1+B866)^24*(1-C866/12)^24</f>
        <v>605527.93779860076</v>
      </c>
      <c r="E866" s="9">
        <f t="shared" ca="1" si="41"/>
        <v>7266335.2535832096</v>
      </c>
    </row>
    <row r="867" spans="1:5" x14ac:dyDescent="0.35">
      <c r="A867">
        <v>854</v>
      </c>
      <c r="B867">
        <f t="shared" ca="1" si="39"/>
        <v>2.4137023014392595E-2</v>
      </c>
      <c r="C867">
        <f t="shared" ca="1" si="40"/>
        <v>0.30226454928509966</v>
      </c>
      <c r="D867" s="9">
        <f ca="1">Assumptions!B$3*(1+B867)^24*(1-C867/12)^24</f>
        <v>438291.10325664765</v>
      </c>
      <c r="E867" s="9">
        <f t="shared" ca="1" si="41"/>
        <v>5259493.2390797716</v>
      </c>
    </row>
    <row r="868" spans="1:5" x14ac:dyDescent="0.35">
      <c r="A868">
        <v>855</v>
      </c>
      <c r="B868">
        <f t="shared" ca="1" si="39"/>
        <v>2.4564937572511159E-2</v>
      </c>
      <c r="C868">
        <f t="shared" ca="1" si="40"/>
        <v>0.29043448114797232</v>
      </c>
      <c r="D868" s="9">
        <f ca="1">Assumptions!B$3*(1+B868)^24*(1-C868/12)^24</f>
        <v>453578.50311918714</v>
      </c>
      <c r="E868" s="9">
        <f t="shared" ca="1" si="41"/>
        <v>5442942.0374302454</v>
      </c>
    </row>
    <row r="869" spans="1:5" x14ac:dyDescent="0.35">
      <c r="A869">
        <v>856</v>
      </c>
      <c r="B869">
        <f t="shared" ca="1" si="39"/>
        <v>1.9190657079965649E-2</v>
      </c>
      <c r="C869">
        <f t="shared" ca="1" si="40"/>
        <v>0.23226138049122616</v>
      </c>
      <c r="D869" s="9">
        <f ca="1">Assumptions!B$3*(1+B869)^24*(1-C869/12)^24</f>
        <v>450286.27315710456</v>
      </c>
      <c r="E869" s="9">
        <f t="shared" ca="1" si="41"/>
        <v>5403435.2778852545</v>
      </c>
    </row>
    <row r="870" spans="1:5" x14ac:dyDescent="0.35">
      <c r="A870">
        <v>857</v>
      </c>
      <c r="B870">
        <f t="shared" ca="1" si="39"/>
        <v>4.4842138492319016E-2</v>
      </c>
      <c r="C870">
        <f t="shared" ca="1" si="40"/>
        <v>0.34924919140105326</v>
      </c>
      <c r="D870" s="9">
        <f ca="1">Assumptions!B$3*(1+B870)^24*(1-C870/12)^24</f>
        <v>643333.55189040478</v>
      </c>
      <c r="E870" s="9">
        <f t="shared" ca="1" si="41"/>
        <v>7720002.6226848569</v>
      </c>
    </row>
    <row r="871" spans="1:5" x14ac:dyDescent="0.35">
      <c r="A871">
        <v>858</v>
      </c>
      <c r="B871">
        <f t="shared" ca="1" si="39"/>
        <v>2.5506906729556824E-2</v>
      </c>
      <c r="C871">
        <f t="shared" ca="1" si="40"/>
        <v>0.16767627797785029</v>
      </c>
      <c r="D871" s="9">
        <f ca="1">Assumptions!B$3*(1+B871)^24*(1-C871/12)^24</f>
        <v>595570.47357831022</v>
      </c>
      <c r="E871" s="9">
        <f t="shared" ca="1" si="41"/>
        <v>7146845.6829397231</v>
      </c>
    </row>
    <row r="872" spans="1:5" x14ac:dyDescent="0.35">
      <c r="A872">
        <v>859</v>
      </c>
      <c r="B872">
        <f t="shared" ca="1" si="39"/>
        <v>2.5364370273441576E-2</v>
      </c>
      <c r="C872">
        <f t="shared" ca="1" si="40"/>
        <v>0.21753722565304545</v>
      </c>
      <c r="D872" s="9">
        <f ca="1">Assumptions!B$3*(1+B872)^24*(1-C872/12)^24</f>
        <v>536375.7578588496</v>
      </c>
      <c r="E872" s="9">
        <f t="shared" ca="1" si="41"/>
        <v>6436509.0943061952</v>
      </c>
    </row>
    <row r="873" spans="1:5" x14ac:dyDescent="0.35">
      <c r="A873">
        <v>860</v>
      </c>
      <c r="B873">
        <f t="shared" ca="1" si="39"/>
        <v>2.1712671446163723E-2</v>
      </c>
      <c r="C873">
        <f t="shared" ca="1" si="40"/>
        <v>0.2310468817563629</v>
      </c>
      <c r="D873" s="9">
        <f ca="1">Assumptions!B$3*(1+B873)^24*(1-C873/12)^24</f>
        <v>478988.04247762723</v>
      </c>
      <c r="E873" s="9">
        <f t="shared" ca="1" si="41"/>
        <v>5747856.5097315265</v>
      </c>
    </row>
    <row r="874" spans="1:5" x14ac:dyDescent="0.35">
      <c r="A874">
        <v>861</v>
      </c>
      <c r="B874">
        <f t="shared" ca="1" si="39"/>
        <v>3.2997404885564886E-2</v>
      </c>
      <c r="C874">
        <f t="shared" ca="1" si="40"/>
        <v>0.13369942025259593</v>
      </c>
      <c r="D874" s="9">
        <f ca="1">Assumptions!B$3*(1+B874)^24*(1-C874/12)^24</f>
        <v>759758.88202195172</v>
      </c>
      <c r="E874" s="9">
        <f t="shared" ca="1" si="41"/>
        <v>9117106.5842634216</v>
      </c>
    </row>
    <row r="875" spans="1:5" x14ac:dyDescent="0.35">
      <c r="A875">
        <v>862</v>
      </c>
      <c r="B875">
        <f t="shared" ca="1" si="39"/>
        <v>2.587368240839031E-2</v>
      </c>
      <c r="C875">
        <f t="shared" ca="1" si="40"/>
        <v>0.2933373908089737</v>
      </c>
      <c r="D875" s="9">
        <f ca="1">Assumptions!B$3*(1+B875)^24*(1-C875/12)^24</f>
        <v>464915.20324611146</v>
      </c>
      <c r="E875" s="9">
        <f t="shared" ca="1" si="41"/>
        <v>5578982.4389533373</v>
      </c>
    </row>
    <row r="876" spans="1:5" x14ac:dyDescent="0.35">
      <c r="A876">
        <v>863</v>
      </c>
      <c r="B876">
        <f t="shared" ca="1" si="39"/>
        <v>3.8192537856505088E-2</v>
      </c>
      <c r="C876">
        <f t="shared" ca="1" si="40"/>
        <v>0.26094809917611633</v>
      </c>
      <c r="D876" s="9">
        <f ca="1">Assumptions!B$3*(1+B876)^24*(1-C876/12)^24</f>
        <v>661588.87075195066</v>
      </c>
      <c r="E876" s="9">
        <f t="shared" ca="1" si="41"/>
        <v>7939066.4490234079</v>
      </c>
    </row>
    <row r="877" spans="1:5" x14ac:dyDescent="0.35">
      <c r="A877">
        <v>864</v>
      </c>
      <c r="B877">
        <f t="shared" ca="1" si="39"/>
        <v>1.3680228950440944E-2</v>
      </c>
      <c r="C877">
        <f t="shared" ca="1" si="40"/>
        <v>0.22296318144394708</v>
      </c>
      <c r="D877" s="9">
        <f ca="1">Assumptions!B$3*(1+B877)^24*(1-C877/12)^24</f>
        <v>402915.69418257207</v>
      </c>
      <c r="E877" s="9">
        <f t="shared" ca="1" si="41"/>
        <v>4834988.3301908653</v>
      </c>
    </row>
    <row r="878" spans="1:5" x14ac:dyDescent="0.35">
      <c r="A878">
        <v>865</v>
      </c>
      <c r="B878">
        <f t="shared" ca="1" si="39"/>
        <v>4.3590090230083353E-2</v>
      </c>
      <c r="C878">
        <f t="shared" ca="1" si="40"/>
        <v>0.26984674853280133</v>
      </c>
      <c r="D878" s="9">
        <f ca="1">Assumptions!B$3*(1+B878)^24*(1-C878/12)^24</f>
        <v>735754.88539298775</v>
      </c>
      <c r="E878" s="9">
        <f t="shared" ca="1" si="41"/>
        <v>8829058.6247158535</v>
      </c>
    </row>
    <row r="879" spans="1:5" x14ac:dyDescent="0.35">
      <c r="A879">
        <v>866</v>
      </c>
      <c r="B879">
        <f t="shared" ca="1" si="39"/>
        <v>2.8303148885563172E-2</v>
      </c>
      <c r="C879">
        <f t="shared" ca="1" si="40"/>
        <v>0.20563308353058354</v>
      </c>
      <c r="D879" s="9">
        <f ca="1">Assumptions!B$3*(1+B879)^24*(1-C879/12)^24</f>
        <v>588606.66294553538</v>
      </c>
      <c r="E879" s="9">
        <f t="shared" ca="1" si="41"/>
        <v>7063279.9553464241</v>
      </c>
    </row>
    <row r="880" spans="1:5" x14ac:dyDescent="0.35">
      <c r="A880">
        <v>867</v>
      </c>
      <c r="B880">
        <f t="shared" ca="1" si="39"/>
        <v>4.3611985373200553E-2</v>
      </c>
      <c r="C880">
        <f t="shared" ca="1" si="40"/>
        <v>0.26207781848468048</v>
      </c>
      <c r="D880" s="9">
        <f ca="1">Assumptions!B$3*(1+B880)^24*(1-C880/12)^24</f>
        <v>747915.94307710952</v>
      </c>
      <c r="E880" s="9">
        <f t="shared" ca="1" si="41"/>
        <v>8974991.3169253133</v>
      </c>
    </row>
    <row r="881" spans="1:5" x14ac:dyDescent="0.35">
      <c r="A881">
        <v>868</v>
      </c>
      <c r="B881">
        <f t="shared" ca="1" si="39"/>
        <v>1.6739182524535628E-2</v>
      </c>
      <c r="C881">
        <f t="shared" ca="1" si="40"/>
        <v>0.31816454188396698</v>
      </c>
      <c r="D881" s="9">
        <f ca="1">Assumptions!B$3*(1+B881)^24*(1-C881/12)^24</f>
        <v>356468.74699132313</v>
      </c>
      <c r="E881" s="9">
        <f t="shared" ca="1" si="41"/>
        <v>4277624.9638958778</v>
      </c>
    </row>
    <row r="882" spans="1:5" x14ac:dyDescent="0.35">
      <c r="A882">
        <v>869</v>
      </c>
      <c r="B882">
        <f t="shared" ca="1" si="39"/>
        <v>3.8284987574815958E-2</v>
      </c>
      <c r="C882">
        <f t="shared" ca="1" si="40"/>
        <v>0.21247877744610136</v>
      </c>
      <c r="D882" s="9">
        <f ca="1">Assumptions!B$3*(1+B882)^24*(1-C882/12)^24</f>
        <v>731919.75416325207</v>
      </c>
      <c r="E882" s="9">
        <f t="shared" ca="1" si="41"/>
        <v>8783037.0499590244</v>
      </c>
    </row>
    <row r="883" spans="1:5" x14ac:dyDescent="0.35">
      <c r="A883">
        <v>870</v>
      </c>
      <c r="B883">
        <f t="shared" ca="1" si="39"/>
        <v>2.6153943697746276E-2</v>
      </c>
      <c r="C883">
        <f t="shared" ca="1" si="40"/>
        <v>0.22900180217882957</v>
      </c>
      <c r="D883" s="9">
        <f ca="1">Assumptions!B$3*(1+B883)^24*(1-C883/12)^24</f>
        <v>533759.30066723004</v>
      </c>
      <c r="E883" s="9">
        <f t="shared" ca="1" si="41"/>
        <v>6405111.6080067605</v>
      </c>
    </row>
    <row r="884" spans="1:5" x14ac:dyDescent="0.35">
      <c r="A884">
        <v>871</v>
      </c>
      <c r="B884">
        <f t="shared" ca="1" si="39"/>
        <v>2.764315175635081E-2</v>
      </c>
      <c r="C884">
        <f t="shared" ca="1" si="40"/>
        <v>0.25400944168876133</v>
      </c>
      <c r="D884" s="9">
        <f ca="1">Assumptions!B$3*(1+B884)^24*(1-C884/12)^24</f>
        <v>525162.23685167439</v>
      </c>
      <c r="E884" s="9">
        <f t="shared" ca="1" si="41"/>
        <v>6301946.8422200922</v>
      </c>
    </row>
    <row r="885" spans="1:5" x14ac:dyDescent="0.35">
      <c r="A885">
        <v>872</v>
      </c>
      <c r="B885">
        <f t="shared" ca="1" si="39"/>
        <v>4.1798041707608202E-2</v>
      </c>
      <c r="C885">
        <f t="shared" ca="1" si="40"/>
        <v>0.29621951666333257</v>
      </c>
      <c r="D885" s="9">
        <f ca="1">Assumptions!B$3*(1+B885)^24*(1-C885/12)^24</f>
        <v>668896.42702962307</v>
      </c>
      <c r="E885" s="9">
        <f t="shared" ca="1" si="41"/>
        <v>8026757.1243554763</v>
      </c>
    </row>
    <row r="886" spans="1:5" x14ac:dyDescent="0.35">
      <c r="A886">
        <v>873</v>
      </c>
      <c r="B886">
        <f t="shared" ca="1" si="39"/>
        <v>4.1569965168106848E-2</v>
      </c>
      <c r="C886">
        <f t="shared" ca="1" si="40"/>
        <v>0.22113660748141759</v>
      </c>
      <c r="D886" s="9">
        <f ca="1">Assumptions!B$3*(1+B886)^24*(1-C886/12)^24</f>
        <v>775764.61497776757</v>
      </c>
      <c r="E886" s="9">
        <f t="shared" ca="1" si="41"/>
        <v>9309175.3797332104</v>
      </c>
    </row>
    <row r="887" spans="1:5" x14ac:dyDescent="0.35">
      <c r="A887">
        <v>874</v>
      </c>
      <c r="B887">
        <f t="shared" ca="1" si="39"/>
        <v>4.4978121195754457E-2</v>
      </c>
      <c r="C887">
        <f t="shared" ca="1" si="40"/>
        <v>0.17312024933454337</v>
      </c>
      <c r="D887" s="9">
        <f ca="1">Assumptions!B$3*(1+B887)^24*(1-C887/12)^24</f>
        <v>925088.03812852327</v>
      </c>
      <c r="E887" s="9">
        <f t="shared" ca="1" si="41"/>
        <v>11101056.45754228</v>
      </c>
    </row>
    <row r="888" spans="1:5" x14ac:dyDescent="0.35">
      <c r="A888">
        <v>875</v>
      </c>
      <c r="B888">
        <f t="shared" ca="1" si="39"/>
        <v>4.9547223780539176E-2</v>
      </c>
      <c r="C888">
        <f t="shared" ca="1" si="40"/>
        <v>0.18454121380356886</v>
      </c>
      <c r="D888" s="9">
        <f ca="1">Assumptions!B$3*(1+B888)^24*(1-C888/12)^24</f>
        <v>1003662.6100825366</v>
      </c>
      <c r="E888" s="9">
        <f t="shared" ca="1" si="41"/>
        <v>12043951.32099044</v>
      </c>
    </row>
    <row r="889" spans="1:5" x14ac:dyDescent="0.35">
      <c r="A889">
        <v>876</v>
      </c>
      <c r="B889">
        <f t="shared" ca="1" si="39"/>
        <v>1.9540408413941897E-2</v>
      </c>
      <c r="C889">
        <f t="shared" ca="1" si="40"/>
        <v>0.20824492670888817</v>
      </c>
      <c r="D889" s="9">
        <f ca="1">Assumptions!B$3*(1+B889)^24*(1-C889/12)^24</f>
        <v>476777.12269609777</v>
      </c>
      <c r="E889" s="9">
        <f t="shared" ca="1" si="41"/>
        <v>5721325.4723531734</v>
      </c>
    </row>
    <row r="890" spans="1:5" x14ac:dyDescent="0.35">
      <c r="A890">
        <v>877</v>
      </c>
      <c r="B890">
        <f t="shared" ca="1" si="39"/>
        <v>4.7905798968549906E-2</v>
      </c>
      <c r="C890">
        <f t="shared" ca="1" si="40"/>
        <v>0.23025157193710158</v>
      </c>
      <c r="D890" s="9">
        <f ca="1">Assumptions!B$3*(1+B890)^24*(1-C890/12)^24</f>
        <v>880789.53305962298</v>
      </c>
      <c r="E890" s="9">
        <f t="shared" ca="1" si="41"/>
        <v>10569474.396715475</v>
      </c>
    </row>
    <row r="891" spans="1:5" x14ac:dyDescent="0.35">
      <c r="A891">
        <v>878</v>
      </c>
      <c r="B891">
        <f t="shared" ca="1" si="39"/>
        <v>3.3869975300621115E-2</v>
      </c>
      <c r="C891">
        <f t="shared" ca="1" si="40"/>
        <v>0.2418519430208132</v>
      </c>
      <c r="D891" s="9">
        <f ca="1">Assumptions!B$3*(1+B891)^24*(1-C891/12)^24</f>
        <v>622360.9218537237</v>
      </c>
      <c r="E891" s="9">
        <f t="shared" ca="1" si="41"/>
        <v>7468331.0622446844</v>
      </c>
    </row>
    <row r="892" spans="1:5" x14ac:dyDescent="0.35">
      <c r="A892">
        <v>879</v>
      </c>
      <c r="B892">
        <f t="shared" ca="1" si="39"/>
        <v>4.4835318175821502E-3</v>
      </c>
      <c r="C892">
        <f t="shared" ca="1" si="40"/>
        <v>0.25100846683472056</v>
      </c>
      <c r="D892" s="9">
        <f ca="1">Assumptions!B$3*(1+B892)^24*(1-C892/12)^24</f>
        <v>305750.98000872624</v>
      </c>
      <c r="E892" s="9">
        <f t="shared" ca="1" si="41"/>
        <v>3669011.7601047149</v>
      </c>
    </row>
    <row r="893" spans="1:5" x14ac:dyDescent="0.35">
      <c r="A893">
        <v>880</v>
      </c>
      <c r="B893">
        <f t="shared" ca="1" si="39"/>
        <v>3.1820760688555778E-2</v>
      </c>
      <c r="C893">
        <f t="shared" ca="1" si="40"/>
        <v>0.27966343540332611</v>
      </c>
      <c r="D893" s="9">
        <f ca="1">Assumptions!B$3*(1+B893)^24*(1-C893/12)^24</f>
        <v>549275.5320296745</v>
      </c>
      <c r="E893" s="9">
        <f t="shared" ca="1" si="41"/>
        <v>6591306.3843560945</v>
      </c>
    </row>
    <row r="894" spans="1:5" x14ac:dyDescent="0.35">
      <c r="A894">
        <v>881</v>
      </c>
      <c r="B894">
        <f t="shared" ca="1" si="39"/>
        <v>4.5559747486819777E-2</v>
      </c>
      <c r="C894">
        <f t="shared" ca="1" si="40"/>
        <v>0.25404478620109794</v>
      </c>
      <c r="D894" s="9">
        <f ca="1">Assumptions!B$3*(1+B894)^24*(1-C894/12)^24</f>
        <v>795094.35845440836</v>
      </c>
      <c r="E894" s="9">
        <f t="shared" ca="1" si="41"/>
        <v>9541132.3014529012</v>
      </c>
    </row>
    <row r="895" spans="1:5" x14ac:dyDescent="0.35">
      <c r="A895">
        <v>882</v>
      </c>
      <c r="B895">
        <f t="shared" ca="1" si="39"/>
        <v>4.5724027597974934E-2</v>
      </c>
      <c r="C895">
        <f t="shared" ca="1" si="40"/>
        <v>0.27983321915819942</v>
      </c>
      <c r="D895" s="9">
        <f ca="1">Assumptions!B$3*(1+B895)^24*(1-C895/12)^24</f>
        <v>757089.2217303284</v>
      </c>
      <c r="E895" s="9">
        <f t="shared" ca="1" si="41"/>
        <v>9085070.6607639417</v>
      </c>
    </row>
    <row r="896" spans="1:5" x14ac:dyDescent="0.35">
      <c r="A896">
        <v>883</v>
      </c>
      <c r="B896">
        <f t="shared" ca="1" si="39"/>
        <v>2.6373286232389957E-2</v>
      </c>
      <c r="C896">
        <f t="shared" ca="1" si="40"/>
        <v>0.22338242970579383</v>
      </c>
      <c r="D896" s="9">
        <f ca="1">Assumptions!B$3*(1+B896)^24*(1-C896/12)^24</f>
        <v>542685.05858475633</v>
      </c>
      <c r="E896" s="9">
        <f t="shared" ca="1" si="41"/>
        <v>6512220.7030170765</v>
      </c>
    </row>
    <row r="897" spans="1:5" x14ac:dyDescent="0.35">
      <c r="A897">
        <v>884</v>
      </c>
      <c r="B897">
        <f t="shared" ca="1" si="39"/>
        <v>3.590591171712431E-2</v>
      </c>
      <c r="C897">
        <f t="shared" ca="1" si="40"/>
        <v>0.27550856149646313</v>
      </c>
      <c r="D897" s="9">
        <f ca="1">Assumptions!B$3*(1+B897)^24*(1-C897/12)^24</f>
        <v>609073.60841709864</v>
      </c>
      <c r="E897" s="9">
        <f t="shared" ca="1" si="41"/>
        <v>7308883.3010051837</v>
      </c>
    </row>
    <row r="898" spans="1:5" x14ac:dyDescent="0.35">
      <c r="A898">
        <v>885</v>
      </c>
      <c r="B898">
        <f t="shared" ca="1" si="39"/>
        <v>2.7679498322205117E-2</v>
      </c>
      <c r="C898">
        <f t="shared" ca="1" si="40"/>
        <v>0.26310014495427719</v>
      </c>
      <c r="D898" s="9">
        <f ca="1">Assumptions!B$3*(1+B898)^24*(1-C898/12)^24</f>
        <v>515931.65252123523</v>
      </c>
      <c r="E898" s="9">
        <f t="shared" ca="1" si="41"/>
        <v>6191179.830254823</v>
      </c>
    </row>
    <row r="899" spans="1:5" x14ac:dyDescent="0.35">
      <c r="A899">
        <v>886</v>
      </c>
      <c r="B899">
        <f t="shared" ca="1" si="39"/>
        <v>4.5505292435643288E-2</v>
      </c>
      <c r="C899">
        <f t="shared" ca="1" si="40"/>
        <v>0.25580306947446307</v>
      </c>
      <c r="D899" s="9">
        <f ca="1">Assumptions!B$3*(1+B899)^24*(1-C899/12)^24</f>
        <v>791253.1064135551</v>
      </c>
      <c r="E899" s="9">
        <f t="shared" ca="1" si="41"/>
        <v>9495037.2769626603</v>
      </c>
    </row>
    <row r="900" spans="1:5" x14ac:dyDescent="0.35">
      <c r="A900">
        <v>887</v>
      </c>
      <c r="B900">
        <f t="shared" ca="1" si="39"/>
        <v>2.8965965840893493E-2</v>
      </c>
      <c r="C900">
        <f t="shared" ca="1" si="40"/>
        <v>0.19096181347495789</v>
      </c>
      <c r="D900" s="9">
        <f ca="1">Assumptions!B$3*(1+B900)^24*(1-C900/12)^24</f>
        <v>615883.92134972068</v>
      </c>
      <c r="E900" s="9">
        <f t="shared" ca="1" si="41"/>
        <v>7390607.0561966486</v>
      </c>
    </row>
    <row r="901" spans="1:5" x14ac:dyDescent="0.35">
      <c r="A901">
        <v>888</v>
      </c>
      <c r="B901">
        <f t="shared" ca="1" si="39"/>
        <v>2.1843229335841263E-2</v>
      </c>
      <c r="C901">
        <f t="shared" ca="1" si="40"/>
        <v>0.27488208728252694</v>
      </c>
      <c r="D901" s="9">
        <f ca="1">Assumptions!B$3*(1+B901)^24*(1-C901/12)^24</f>
        <v>439300.54888835462</v>
      </c>
      <c r="E901" s="9">
        <f t="shared" ca="1" si="41"/>
        <v>5271606.5866602557</v>
      </c>
    </row>
    <row r="902" spans="1:5" x14ac:dyDescent="0.35">
      <c r="A902">
        <v>889</v>
      </c>
      <c r="B902">
        <f t="shared" ca="1" si="39"/>
        <v>3.4616965202738131E-2</v>
      </c>
      <c r="C902">
        <f t="shared" ca="1" si="40"/>
        <v>0.16991668953169428</v>
      </c>
      <c r="D902" s="9">
        <f ca="1">Assumptions!B$3*(1+B902)^24*(1-C902/12)^24</f>
        <v>733066.7787888064</v>
      </c>
      <c r="E902" s="9">
        <f t="shared" ca="1" si="41"/>
        <v>8796801.3454656769</v>
      </c>
    </row>
    <row r="903" spans="1:5" x14ac:dyDescent="0.35">
      <c r="A903">
        <v>890</v>
      </c>
      <c r="B903">
        <f t="shared" ca="1" si="39"/>
        <v>1.4593182697439127E-2</v>
      </c>
      <c r="C903">
        <f t="shared" ca="1" si="40"/>
        <v>0.27617487611692176</v>
      </c>
      <c r="D903" s="9">
        <f ca="1">Assumptions!B$3*(1+B903)^24*(1-C903/12)^24</f>
        <v>369314.61268355697</v>
      </c>
      <c r="E903" s="9">
        <f t="shared" ca="1" si="41"/>
        <v>4431775.3522026837</v>
      </c>
    </row>
    <row r="904" spans="1:5" x14ac:dyDescent="0.35">
      <c r="A904">
        <v>891</v>
      </c>
      <c r="B904">
        <f t="shared" ca="1" si="39"/>
        <v>2.9438417992994414E-2</v>
      </c>
      <c r="C904">
        <f t="shared" ca="1" si="40"/>
        <v>0.17523133191228418</v>
      </c>
      <c r="D904" s="9">
        <f ca="1">Assumptions!B$3*(1+B904)^24*(1-C904/12)^24</f>
        <v>642922.42564895737</v>
      </c>
      <c r="E904" s="9">
        <f t="shared" ca="1" si="41"/>
        <v>7715069.107787488</v>
      </c>
    </row>
    <row r="905" spans="1:5" x14ac:dyDescent="0.35">
      <c r="A905">
        <v>892</v>
      </c>
      <c r="B905">
        <f t="shared" ca="1" si="39"/>
        <v>3.2679805672426294E-2</v>
      </c>
      <c r="C905">
        <f t="shared" ca="1" si="40"/>
        <v>0.16084710675421079</v>
      </c>
      <c r="D905" s="9">
        <f ca="1">Assumptions!B$3*(1+B905)^24*(1-C905/12)^24</f>
        <v>713834.44078668905</v>
      </c>
      <c r="E905" s="9">
        <f t="shared" ca="1" si="41"/>
        <v>8566013.2894402687</v>
      </c>
    </row>
    <row r="906" spans="1:5" x14ac:dyDescent="0.35">
      <c r="A906">
        <v>893</v>
      </c>
      <c r="B906">
        <f t="shared" ca="1" si="39"/>
        <v>2.5556217961049774E-2</v>
      </c>
      <c r="C906">
        <f t="shared" ca="1" si="40"/>
        <v>0.24523997376228779</v>
      </c>
      <c r="D906" s="9">
        <f ca="1">Assumptions!B$3*(1+B906)^24*(1-C906/12)^24</f>
        <v>509194.52051351761</v>
      </c>
      <c r="E906" s="9">
        <f t="shared" ca="1" si="41"/>
        <v>6110334.2461622115</v>
      </c>
    </row>
    <row r="907" spans="1:5" x14ac:dyDescent="0.35">
      <c r="A907">
        <v>894</v>
      </c>
      <c r="B907">
        <f t="shared" ca="1" si="39"/>
        <v>3.4083030960403257E-2</v>
      </c>
      <c r="C907">
        <f t="shared" ca="1" si="40"/>
        <v>0.31234640199861352</v>
      </c>
      <c r="D907" s="9">
        <f ca="1">Assumptions!B$3*(1+B907)^24*(1-C907/12)^24</f>
        <v>541391.9609831369</v>
      </c>
      <c r="E907" s="9">
        <f t="shared" ca="1" si="41"/>
        <v>6496703.5317976428</v>
      </c>
    </row>
    <row r="908" spans="1:5" x14ac:dyDescent="0.35">
      <c r="A908">
        <v>895</v>
      </c>
      <c r="B908">
        <f t="shared" ca="1" si="39"/>
        <v>2.5726965653862125E-2</v>
      </c>
      <c r="C908">
        <f t="shared" ca="1" si="40"/>
        <v>0.27544207381421204</v>
      </c>
      <c r="D908" s="9">
        <f ca="1">Assumptions!B$3*(1+B908)^24*(1-C908/12)^24</f>
        <v>480622.3514930965</v>
      </c>
      <c r="E908" s="9">
        <f t="shared" ca="1" si="41"/>
        <v>5767468.2179171583</v>
      </c>
    </row>
    <row r="909" spans="1:5" x14ac:dyDescent="0.35">
      <c r="A909">
        <v>896</v>
      </c>
      <c r="B909">
        <f t="shared" ca="1" si="39"/>
        <v>1.8434681205550921E-2</v>
      </c>
      <c r="C909">
        <f t="shared" ca="1" si="40"/>
        <v>0.27634431298711953</v>
      </c>
      <c r="D909" s="9">
        <f ca="1">Assumptions!B$3*(1+B909)^24*(1-C909/12)^24</f>
        <v>404236.58751914842</v>
      </c>
      <c r="E909" s="9">
        <f t="shared" ca="1" si="41"/>
        <v>4850839.0502297813</v>
      </c>
    </row>
    <row r="910" spans="1:5" x14ac:dyDescent="0.35">
      <c r="A910">
        <v>897</v>
      </c>
      <c r="B910">
        <f t="shared" ca="1" si="39"/>
        <v>3.1764216284792618E-2</v>
      </c>
      <c r="C910">
        <f t="shared" ca="1" si="40"/>
        <v>0.308491168168466</v>
      </c>
      <c r="D910" s="9">
        <f ca="1">Assumptions!B$3*(1+B910)^24*(1-C910/12)^24</f>
        <v>517071.42789133044</v>
      </c>
      <c r="E910" s="9">
        <f t="shared" ca="1" si="41"/>
        <v>6204857.1346959658</v>
      </c>
    </row>
    <row r="911" spans="1:5" x14ac:dyDescent="0.35">
      <c r="A911">
        <v>898</v>
      </c>
      <c r="B911">
        <f t="shared" ca="1" si="39"/>
        <v>3.7799687586193426E-2</v>
      </c>
      <c r="C911">
        <f t="shared" ca="1" si="40"/>
        <v>0.18228440241389327</v>
      </c>
      <c r="D911" s="9">
        <f ca="1">Assumptions!B$3*(1+B911)^24*(1-C911/12)^24</f>
        <v>769583.32216249488</v>
      </c>
      <c r="E911" s="9">
        <f t="shared" ca="1" si="41"/>
        <v>9234999.8659499381</v>
      </c>
    </row>
    <row r="912" spans="1:5" x14ac:dyDescent="0.35">
      <c r="A912">
        <v>899</v>
      </c>
      <c r="B912">
        <f t="shared" ref="B912:B975" ca="1" si="42">_xlfn.NORM.INV(RAND(), $B$4, $B$5)</f>
        <v>1.5547247420925675E-2</v>
      </c>
      <c r="C912">
        <f t="shared" ref="C912:C975" ca="1" si="43">+_xlfn.NORM.INV(RAND(), $B$6, $B$7)</f>
        <v>0.18316989598407346</v>
      </c>
      <c r="D912" s="9">
        <f ca="1">Assumptions!B$3*(1+B912)^24*(1-C912/12)^24</f>
        <v>456617.94020892715</v>
      </c>
      <c r="E912" s="9">
        <f t="shared" ref="E912:E975" ca="1" si="44">D912*12</f>
        <v>5479415.2825071253</v>
      </c>
    </row>
    <row r="913" spans="1:5" x14ac:dyDescent="0.35">
      <c r="A913">
        <v>900</v>
      </c>
      <c r="B913">
        <f t="shared" ca="1" si="42"/>
        <v>2.5018698408392864E-2</v>
      </c>
      <c r="C913">
        <f t="shared" ca="1" si="43"/>
        <v>0.27081142958933996</v>
      </c>
      <c r="D913" s="9">
        <f ca="1">Assumptions!B$3*(1+B913)^24*(1-C913/12)^24</f>
        <v>477221.63700764714</v>
      </c>
      <c r="E913" s="9">
        <f t="shared" ca="1" si="44"/>
        <v>5726659.6440917654</v>
      </c>
    </row>
    <row r="914" spans="1:5" x14ac:dyDescent="0.35">
      <c r="A914">
        <v>901</v>
      </c>
      <c r="B914">
        <f t="shared" ca="1" si="42"/>
        <v>3.8199367249464426E-2</v>
      </c>
      <c r="C914">
        <f t="shared" ca="1" si="43"/>
        <v>0.27021099171869134</v>
      </c>
      <c r="D914" s="9">
        <f ca="1">Assumptions!B$3*(1+B914)^24*(1-C914/12)^24</f>
        <v>649275.49993136048</v>
      </c>
      <c r="E914" s="9">
        <f t="shared" ca="1" si="44"/>
        <v>7791305.9991763253</v>
      </c>
    </row>
    <row r="915" spans="1:5" x14ac:dyDescent="0.35">
      <c r="A915">
        <v>902</v>
      </c>
      <c r="B915">
        <f t="shared" ca="1" si="42"/>
        <v>4.9760216438817347E-2</v>
      </c>
      <c r="C915">
        <f t="shared" ca="1" si="43"/>
        <v>0.26497055869988645</v>
      </c>
      <c r="D915" s="9">
        <f ca="1">Assumptions!B$3*(1+B915)^24*(1-C915/12)^24</f>
        <v>856069.4843940367</v>
      </c>
      <c r="E915" s="9">
        <f t="shared" ca="1" si="44"/>
        <v>10272833.81272844</v>
      </c>
    </row>
    <row r="916" spans="1:5" x14ac:dyDescent="0.35">
      <c r="A916">
        <v>903</v>
      </c>
      <c r="B916">
        <f t="shared" ca="1" si="42"/>
        <v>5.1892337051170759E-2</v>
      </c>
      <c r="C916">
        <f t="shared" ca="1" si="43"/>
        <v>0.30357616136715404</v>
      </c>
      <c r="D916" s="9">
        <f ca="1">Assumptions!B$3*(1+B916)^24*(1-C916/12)^24</f>
        <v>830445.81154909101</v>
      </c>
      <c r="E916" s="9">
        <f t="shared" ca="1" si="44"/>
        <v>9965349.7385890931</v>
      </c>
    </row>
    <row r="917" spans="1:5" x14ac:dyDescent="0.35">
      <c r="A917">
        <v>904</v>
      </c>
      <c r="B917">
        <f t="shared" ca="1" si="42"/>
        <v>3.5402022246769541E-2</v>
      </c>
      <c r="C917">
        <f t="shared" ca="1" si="43"/>
        <v>0.19202643306577688</v>
      </c>
      <c r="D917" s="9">
        <f ca="1">Assumptions!B$3*(1+B917)^24*(1-C917/12)^24</f>
        <v>713758.2164980009</v>
      </c>
      <c r="E917" s="9">
        <f t="shared" ca="1" si="44"/>
        <v>8565098.5979760103</v>
      </c>
    </row>
    <row r="918" spans="1:5" x14ac:dyDescent="0.35">
      <c r="A918">
        <v>905</v>
      </c>
      <c r="B918">
        <f t="shared" ca="1" si="42"/>
        <v>9.3530149665680788E-3</v>
      </c>
      <c r="C918">
        <f t="shared" ca="1" si="43"/>
        <v>0.29081330953940909</v>
      </c>
      <c r="D918" s="9">
        <f ca="1">Assumptions!B$3*(1+B918)^24*(1-C918/12)^24</f>
        <v>316520.27461301</v>
      </c>
      <c r="E918" s="9">
        <f t="shared" ca="1" si="44"/>
        <v>3798243.29535612</v>
      </c>
    </row>
    <row r="919" spans="1:5" x14ac:dyDescent="0.35">
      <c r="A919">
        <v>906</v>
      </c>
      <c r="B919">
        <f t="shared" ca="1" si="42"/>
        <v>1.7348979883943919E-2</v>
      </c>
      <c r="C919">
        <f t="shared" ca="1" si="43"/>
        <v>0.28149459914474528</v>
      </c>
      <c r="D919" s="9">
        <f ca="1">Assumptions!B$3*(1+B919)^24*(1-C919/12)^24</f>
        <v>389886.55254636472</v>
      </c>
      <c r="E919" s="9">
        <f t="shared" ca="1" si="44"/>
        <v>4678638.6305563767</v>
      </c>
    </row>
    <row r="920" spans="1:5" x14ac:dyDescent="0.35">
      <c r="A920">
        <v>907</v>
      </c>
      <c r="B920">
        <f t="shared" ca="1" si="42"/>
        <v>3.5213591866257936E-2</v>
      </c>
      <c r="C920">
        <f t="shared" ca="1" si="43"/>
        <v>0.22016017922770637</v>
      </c>
      <c r="D920" s="9">
        <f ca="1">Assumptions!B$3*(1+B920)^24*(1-C920/12)^24</f>
        <v>671104.86238397565</v>
      </c>
      <c r="E920" s="9">
        <f t="shared" ca="1" si="44"/>
        <v>8053258.3486077078</v>
      </c>
    </row>
    <row r="921" spans="1:5" x14ac:dyDescent="0.35">
      <c r="A921">
        <v>908</v>
      </c>
      <c r="B921">
        <f t="shared" ca="1" si="42"/>
        <v>3.29401553060324E-2</v>
      </c>
      <c r="C921">
        <f t="shared" ca="1" si="43"/>
        <v>0.20044609308587483</v>
      </c>
      <c r="D921" s="9">
        <f ca="1">Assumptions!B$3*(1+B921)^24*(1-C921/12)^24</f>
        <v>662680.15111029858</v>
      </c>
      <c r="E921" s="9">
        <f t="shared" ca="1" si="44"/>
        <v>7952161.8133235835</v>
      </c>
    </row>
    <row r="922" spans="1:5" x14ac:dyDescent="0.35">
      <c r="A922">
        <v>909</v>
      </c>
      <c r="B922">
        <f t="shared" ca="1" si="42"/>
        <v>2.940153000967068E-2</v>
      </c>
      <c r="C922">
        <f t="shared" ca="1" si="43"/>
        <v>0.26909109054303243</v>
      </c>
      <c r="D922" s="9">
        <f ca="1">Assumptions!B$3*(1+B922)^24*(1-C922/12)^24</f>
        <v>530543.86778385169</v>
      </c>
      <c r="E922" s="9">
        <f t="shared" ca="1" si="44"/>
        <v>6366526.4134062203</v>
      </c>
    </row>
    <row r="923" spans="1:5" x14ac:dyDescent="0.35">
      <c r="A923">
        <v>910</v>
      </c>
      <c r="B923">
        <f t="shared" ca="1" si="42"/>
        <v>2.3775193992893941E-2</v>
      </c>
      <c r="C923">
        <f t="shared" ca="1" si="43"/>
        <v>0.15914758401345636</v>
      </c>
      <c r="D923" s="9">
        <f ca="1">Assumptions!B$3*(1+B923)^24*(1-C923/12)^24</f>
        <v>581872.27695245424</v>
      </c>
      <c r="E923" s="9">
        <f t="shared" ca="1" si="44"/>
        <v>6982467.3234294504</v>
      </c>
    </row>
    <row r="924" spans="1:5" x14ac:dyDescent="0.35">
      <c r="A924">
        <v>911</v>
      </c>
      <c r="B924">
        <f t="shared" ca="1" si="42"/>
        <v>3.7521335438345141E-2</v>
      </c>
      <c r="C924">
        <f t="shared" ca="1" si="43"/>
        <v>0.22002625353494459</v>
      </c>
      <c r="D924" s="9">
        <f ca="1">Assumptions!B$3*(1+B924)^24*(1-C924/12)^24</f>
        <v>708139.11594323511</v>
      </c>
      <c r="E924" s="9">
        <f t="shared" ca="1" si="44"/>
        <v>8497669.3913188204</v>
      </c>
    </row>
    <row r="925" spans="1:5" x14ac:dyDescent="0.35">
      <c r="A925">
        <v>912</v>
      </c>
      <c r="B925">
        <f t="shared" ca="1" si="42"/>
        <v>2.3425985161546162E-2</v>
      </c>
      <c r="C925">
        <f t="shared" ca="1" si="43"/>
        <v>0.26519731871720587</v>
      </c>
      <c r="D925" s="9">
        <f ca="1">Assumptions!B$3*(1+B925)^24*(1-C925/12)^24</f>
        <v>465049.86122789752</v>
      </c>
      <c r="E925" s="9">
        <f t="shared" ca="1" si="44"/>
        <v>5580598.3347347705</v>
      </c>
    </row>
    <row r="926" spans="1:5" x14ac:dyDescent="0.35">
      <c r="A926">
        <v>913</v>
      </c>
      <c r="B926">
        <f t="shared" ca="1" si="42"/>
        <v>2.969503676445584E-2</v>
      </c>
      <c r="C926">
        <f t="shared" ca="1" si="43"/>
        <v>0.27416246492640023</v>
      </c>
      <c r="D926" s="9">
        <f ca="1">Assumptions!B$3*(1+B926)^24*(1-C926/12)^24</f>
        <v>528671.357311256</v>
      </c>
      <c r="E926" s="9">
        <f t="shared" ca="1" si="44"/>
        <v>6344056.287735072</v>
      </c>
    </row>
    <row r="927" spans="1:5" x14ac:dyDescent="0.35">
      <c r="A927">
        <v>914</v>
      </c>
      <c r="B927">
        <f t="shared" ca="1" si="42"/>
        <v>3.6481300834657837E-2</v>
      </c>
      <c r="C927">
        <f t="shared" ca="1" si="43"/>
        <v>0.24923514765560445</v>
      </c>
      <c r="D927" s="9">
        <f ca="1">Assumptions!B$3*(1+B927)^24*(1-C927/12)^24</f>
        <v>651311.19089304749</v>
      </c>
      <c r="E927" s="9">
        <f t="shared" ca="1" si="44"/>
        <v>7815734.2907165699</v>
      </c>
    </row>
    <row r="928" spans="1:5" x14ac:dyDescent="0.35">
      <c r="A928">
        <v>915</v>
      </c>
      <c r="B928">
        <f t="shared" ca="1" si="42"/>
        <v>3.6498927518431923E-2</v>
      </c>
      <c r="C928">
        <f t="shared" ca="1" si="43"/>
        <v>0.25929073352716542</v>
      </c>
      <c r="D928" s="9">
        <f ca="1">Assumptions!B$3*(1+B928)^24*(1-C928/12)^24</f>
        <v>638326.0291247865</v>
      </c>
      <c r="E928" s="9">
        <f t="shared" ca="1" si="44"/>
        <v>7659912.3494974375</v>
      </c>
    </row>
    <row r="929" spans="1:5" x14ac:dyDescent="0.35">
      <c r="A929">
        <v>916</v>
      </c>
      <c r="B929">
        <f t="shared" ca="1" si="42"/>
        <v>4.1950333299429307E-2</v>
      </c>
      <c r="C929">
        <f t="shared" ca="1" si="43"/>
        <v>0.26044860849537499</v>
      </c>
      <c r="D929" s="9">
        <f ca="1">Assumptions!B$3*(1+B929)^24*(1-C929/12)^24</f>
        <v>722254.79803508334</v>
      </c>
      <c r="E929" s="9">
        <f t="shared" ca="1" si="44"/>
        <v>8667057.5764210001</v>
      </c>
    </row>
    <row r="930" spans="1:5" x14ac:dyDescent="0.35">
      <c r="A930">
        <v>917</v>
      </c>
      <c r="B930">
        <f t="shared" ca="1" si="42"/>
        <v>2.3157354598115791E-2</v>
      </c>
      <c r="C930">
        <f t="shared" ca="1" si="43"/>
        <v>0.21811773299182896</v>
      </c>
      <c r="D930" s="9">
        <f ca="1">Assumptions!B$3*(1+B930)^24*(1-C930/12)^24</f>
        <v>508740.824367464</v>
      </c>
      <c r="E930" s="9">
        <f t="shared" ca="1" si="44"/>
        <v>6104889.8924095677</v>
      </c>
    </row>
    <row r="931" spans="1:5" x14ac:dyDescent="0.35">
      <c r="A931">
        <v>918</v>
      </c>
      <c r="B931">
        <f t="shared" ca="1" si="42"/>
        <v>3.1201005450812169E-2</v>
      </c>
      <c r="C931">
        <f t="shared" ca="1" si="43"/>
        <v>0.35455536601341386</v>
      </c>
      <c r="D931" s="9">
        <f ca="1">Assumptions!B$3*(1+B931)^24*(1-C931/12)^24</f>
        <v>464206.95098962809</v>
      </c>
      <c r="E931" s="9">
        <f t="shared" ca="1" si="44"/>
        <v>5570483.4118755367</v>
      </c>
    </row>
    <row r="932" spans="1:5" x14ac:dyDescent="0.35">
      <c r="A932">
        <v>919</v>
      </c>
      <c r="B932">
        <f t="shared" ca="1" si="42"/>
        <v>3.4005931938405343E-2</v>
      </c>
      <c r="C932">
        <f t="shared" ca="1" si="43"/>
        <v>0.28198454284672803</v>
      </c>
      <c r="D932" s="9">
        <f ca="1">Assumptions!B$3*(1+B932)^24*(1-C932/12)^24</f>
        <v>575143.60633740784</v>
      </c>
      <c r="E932" s="9">
        <f t="shared" ca="1" si="44"/>
        <v>6901723.276048894</v>
      </c>
    </row>
    <row r="933" spans="1:5" x14ac:dyDescent="0.35">
      <c r="A933">
        <v>920</v>
      </c>
      <c r="B933">
        <f t="shared" ca="1" si="42"/>
        <v>3.4687074684155612E-2</v>
      </c>
      <c r="C933">
        <f t="shared" ca="1" si="43"/>
        <v>0.2596533098669091</v>
      </c>
      <c r="D933" s="9">
        <f ca="1">Assumptions!B$3*(1+B933)^24*(1-C933/12)^24</f>
        <v>611624.21116474248</v>
      </c>
      <c r="E933" s="9">
        <f t="shared" ca="1" si="44"/>
        <v>7339490.5339769097</v>
      </c>
    </row>
    <row r="934" spans="1:5" x14ac:dyDescent="0.35">
      <c r="A934">
        <v>921</v>
      </c>
      <c r="B934">
        <f t="shared" ca="1" si="42"/>
        <v>3.4223362380095969E-2</v>
      </c>
      <c r="C934">
        <f t="shared" ca="1" si="43"/>
        <v>0.29549177213052646</v>
      </c>
      <c r="D934" s="9">
        <f ca="1">Assumptions!B$3*(1+B934)^24*(1-C934/12)^24</f>
        <v>562271.84645011486</v>
      </c>
      <c r="E934" s="9">
        <f t="shared" ca="1" si="44"/>
        <v>6747262.1574013783</v>
      </c>
    </row>
    <row r="935" spans="1:5" x14ac:dyDescent="0.35">
      <c r="A935">
        <v>922</v>
      </c>
      <c r="B935">
        <f t="shared" ca="1" si="42"/>
        <v>1.682782971988743E-2</v>
      </c>
      <c r="C935">
        <f t="shared" ca="1" si="43"/>
        <v>0.26347959242428387</v>
      </c>
      <c r="D935" s="9">
        <f ca="1">Assumptions!B$3*(1+B935)^24*(1-C935/12)^24</f>
        <v>399584.60443818587</v>
      </c>
      <c r="E935" s="9">
        <f t="shared" ca="1" si="44"/>
        <v>4795015.2532582302</v>
      </c>
    </row>
    <row r="936" spans="1:5" x14ac:dyDescent="0.35">
      <c r="A936">
        <v>923</v>
      </c>
      <c r="B936">
        <f t="shared" ca="1" si="42"/>
        <v>2.1977819327009825E-2</v>
      </c>
      <c r="C936">
        <f t="shared" ca="1" si="43"/>
        <v>0.3288730519366142</v>
      </c>
      <c r="D936" s="9">
        <f ca="1">Assumptions!B$3*(1+B936)^24*(1-C936/12)^24</f>
        <v>394482.99499915796</v>
      </c>
      <c r="E936" s="9">
        <f t="shared" ca="1" si="44"/>
        <v>4733795.9399898956</v>
      </c>
    </row>
    <row r="937" spans="1:5" x14ac:dyDescent="0.35">
      <c r="A937">
        <v>924</v>
      </c>
      <c r="B937">
        <f t="shared" ca="1" si="42"/>
        <v>1.4582619134313886E-2</v>
      </c>
      <c r="C937">
        <f t="shared" ca="1" si="43"/>
        <v>0.27086768863283417</v>
      </c>
      <c r="D937" s="9">
        <f ca="1">Assumptions!B$3*(1+B937)^24*(1-C937/12)^24</f>
        <v>373254.67665565427</v>
      </c>
      <c r="E937" s="9">
        <f t="shared" ca="1" si="44"/>
        <v>4479056.119867851</v>
      </c>
    </row>
    <row r="938" spans="1:5" x14ac:dyDescent="0.35">
      <c r="A938">
        <v>925</v>
      </c>
      <c r="B938">
        <f t="shared" ca="1" si="42"/>
        <v>3.0099632909502905E-2</v>
      </c>
      <c r="C938">
        <f t="shared" ca="1" si="43"/>
        <v>0.27600087757445152</v>
      </c>
      <c r="D938" s="9">
        <f ca="1">Assumptions!B$3*(1+B938)^24*(1-C938/12)^24</f>
        <v>531674.95757517766</v>
      </c>
      <c r="E938" s="9">
        <f t="shared" ca="1" si="44"/>
        <v>6380099.4909021314</v>
      </c>
    </row>
    <row r="939" spans="1:5" x14ac:dyDescent="0.35">
      <c r="A939">
        <v>926</v>
      </c>
      <c r="B939">
        <f t="shared" ca="1" si="42"/>
        <v>2.2776891001699599E-2</v>
      </c>
      <c r="C939">
        <f t="shared" ca="1" si="43"/>
        <v>0.32518608469149857</v>
      </c>
      <c r="D939" s="9">
        <f ca="1">Assumptions!B$3*(1+B939)^24*(1-C939/12)^24</f>
        <v>405011.1202326956</v>
      </c>
      <c r="E939" s="9">
        <f t="shared" ca="1" si="44"/>
        <v>4860133.4427923467</v>
      </c>
    </row>
    <row r="940" spans="1:5" x14ac:dyDescent="0.35">
      <c r="A940">
        <v>927</v>
      </c>
      <c r="B940">
        <f t="shared" ca="1" si="42"/>
        <v>1.5163609847065657E-2</v>
      </c>
      <c r="C940">
        <f t="shared" ca="1" si="43"/>
        <v>0.30567208685134134</v>
      </c>
      <c r="D940" s="9">
        <f ca="1">Assumptions!B$3*(1+B940)^24*(1-C940/12)^24</f>
        <v>352368.74951243779</v>
      </c>
      <c r="E940" s="9">
        <f t="shared" ca="1" si="44"/>
        <v>4228424.9941492537</v>
      </c>
    </row>
    <row r="941" spans="1:5" x14ac:dyDescent="0.35">
      <c r="A941">
        <v>928</v>
      </c>
      <c r="B941">
        <f t="shared" ca="1" si="42"/>
        <v>2.2554406498045514E-2</v>
      </c>
      <c r="C941">
        <f t="shared" ca="1" si="43"/>
        <v>0.23024780221703217</v>
      </c>
      <c r="D941" s="9">
        <f ca="1">Assumptions!B$3*(1+B941)^24*(1-C941/12)^24</f>
        <v>489345.75405990757</v>
      </c>
      <c r="E941" s="9">
        <f t="shared" ca="1" si="44"/>
        <v>5872149.0487188911</v>
      </c>
    </row>
    <row r="942" spans="1:5" x14ac:dyDescent="0.35">
      <c r="A942">
        <v>929</v>
      </c>
      <c r="B942">
        <f t="shared" ca="1" si="42"/>
        <v>7.437380452060556E-3</v>
      </c>
      <c r="C942">
        <f t="shared" ca="1" si="43"/>
        <v>0.35814944908219715</v>
      </c>
      <c r="D942" s="9">
        <f ca="1">Assumptions!B$3*(1+B942)^24*(1-C942/12)^24</f>
        <v>263322.46737596887</v>
      </c>
      <c r="E942" s="9">
        <f t="shared" ca="1" si="44"/>
        <v>3159869.6085116267</v>
      </c>
    </row>
    <row r="943" spans="1:5" x14ac:dyDescent="0.35">
      <c r="A943">
        <v>930</v>
      </c>
      <c r="B943">
        <f t="shared" ca="1" si="42"/>
        <v>2.5057128456395374E-2</v>
      </c>
      <c r="C943">
        <f t="shared" ca="1" si="43"/>
        <v>0.29075197881168308</v>
      </c>
      <c r="D943" s="9">
        <f ca="1">Assumptions!B$3*(1+B943)^24*(1-C943/12)^24</f>
        <v>458538.47368212999</v>
      </c>
      <c r="E943" s="9">
        <f t="shared" ca="1" si="44"/>
        <v>5502461.6841855599</v>
      </c>
    </row>
    <row r="944" spans="1:5" x14ac:dyDescent="0.35">
      <c r="A944">
        <v>931</v>
      </c>
      <c r="B944">
        <f t="shared" ca="1" si="42"/>
        <v>2.9899361416839545E-2</v>
      </c>
      <c r="C944">
        <f t="shared" ca="1" si="43"/>
        <v>0.160931039340795</v>
      </c>
      <c r="D944" s="9">
        <f ca="1">Assumptions!B$3*(1+B944)^24*(1-C944/12)^24</f>
        <v>668993.82977742248</v>
      </c>
      <c r="E944" s="9">
        <f t="shared" ca="1" si="44"/>
        <v>8027925.9573290702</v>
      </c>
    </row>
    <row r="945" spans="1:5" x14ac:dyDescent="0.35">
      <c r="A945">
        <v>932</v>
      </c>
      <c r="B945">
        <f t="shared" ca="1" si="42"/>
        <v>4.0485948999451987E-2</v>
      </c>
      <c r="C945">
        <f t="shared" ca="1" si="43"/>
        <v>0.21373892240442008</v>
      </c>
      <c r="D945" s="9">
        <f ca="1">Assumptions!B$3*(1+B945)^24*(1-C945/12)^24</f>
        <v>768105.03798087244</v>
      </c>
      <c r="E945" s="9">
        <f t="shared" ca="1" si="44"/>
        <v>9217260.4557704702</v>
      </c>
    </row>
    <row r="946" spans="1:5" x14ac:dyDescent="0.35">
      <c r="A946">
        <v>933</v>
      </c>
      <c r="B946">
        <f t="shared" ca="1" si="42"/>
        <v>2.3136965316825488E-2</v>
      </c>
      <c r="C946">
        <f t="shared" ca="1" si="43"/>
        <v>0.24464167365017614</v>
      </c>
      <c r="D946" s="9">
        <f ca="1">Assumptions!B$3*(1+B946)^24*(1-C946/12)^24</f>
        <v>481723.14660442562</v>
      </c>
      <c r="E946" s="9">
        <f t="shared" ca="1" si="44"/>
        <v>5780677.759253107</v>
      </c>
    </row>
    <row r="947" spans="1:5" x14ac:dyDescent="0.35">
      <c r="A947">
        <v>934</v>
      </c>
      <c r="B947">
        <f t="shared" ca="1" si="42"/>
        <v>2.0914950475044256E-2</v>
      </c>
      <c r="C947">
        <f t="shared" ca="1" si="43"/>
        <v>0.29161742747232738</v>
      </c>
      <c r="D947" s="9">
        <f ca="1">Assumptions!B$3*(1+B947)^24*(1-C947/12)^24</f>
        <v>415337.56636841979</v>
      </c>
      <c r="E947" s="9">
        <f t="shared" ca="1" si="44"/>
        <v>4984050.796421038</v>
      </c>
    </row>
    <row r="948" spans="1:5" x14ac:dyDescent="0.35">
      <c r="A948">
        <v>935</v>
      </c>
      <c r="B948">
        <f t="shared" ca="1" si="42"/>
        <v>2.1313436728867562E-2</v>
      </c>
      <c r="C948">
        <f t="shared" ca="1" si="43"/>
        <v>0.35583249997970595</v>
      </c>
      <c r="D948" s="9">
        <f ca="1">Assumptions!B$3*(1+B948)^24*(1-C948/12)^24</f>
        <v>367405.56251314498</v>
      </c>
      <c r="E948" s="9">
        <f t="shared" ca="1" si="44"/>
        <v>4408866.75015774</v>
      </c>
    </row>
    <row r="949" spans="1:5" x14ac:dyDescent="0.35">
      <c r="A949">
        <v>936</v>
      </c>
      <c r="B949">
        <f t="shared" ca="1" si="42"/>
        <v>3.0936418491500476E-2</v>
      </c>
      <c r="C949">
        <f t="shared" ca="1" si="43"/>
        <v>0.28030789089623021</v>
      </c>
      <c r="D949" s="9">
        <f ca="1">Assumptions!B$3*(1+B949)^24*(1-C949/12)^24</f>
        <v>537378.13189810468</v>
      </c>
      <c r="E949" s="9">
        <f t="shared" ca="1" si="44"/>
        <v>6448537.5827772561</v>
      </c>
    </row>
    <row r="950" spans="1:5" x14ac:dyDescent="0.35">
      <c r="A950">
        <v>937</v>
      </c>
      <c r="B950">
        <f t="shared" ca="1" si="42"/>
        <v>3.6411030005111103E-2</v>
      </c>
      <c r="C950">
        <f t="shared" ca="1" si="43"/>
        <v>0.23543256992801637</v>
      </c>
      <c r="D950" s="9">
        <f ca="1">Assumptions!B$3*(1+B950)^24*(1-C950/12)^24</f>
        <v>668833.04736428231</v>
      </c>
      <c r="E950" s="9">
        <f t="shared" ca="1" si="44"/>
        <v>8025996.5683713872</v>
      </c>
    </row>
    <row r="951" spans="1:5" x14ac:dyDescent="0.35">
      <c r="A951">
        <v>938</v>
      </c>
      <c r="B951">
        <f t="shared" ca="1" si="42"/>
        <v>3.4114448248588912E-2</v>
      </c>
      <c r="C951">
        <f t="shared" ca="1" si="43"/>
        <v>0.26433274859638406</v>
      </c>
      <c r="D951" s="9">
        <f ca="1">Assumptions!B$3*(1+B951)^24*(1-C951/12)^24</f>
        <v>597804.81528556487</v>
      </c>
      <c r="E951" s="9">
        <f t="shared" ca="1" si="44"/>
        <v>7173657.7834267784</v>
      </c>
    </row>
    <row r="952" spans="1:5" x14ac:dyDescent="0.35">
      <c r="A952">
        <v>939</v>
      </c>
      <c r="B952">
        <f t="shared" ca="1" si="42"/>
        <v>3.6312618184530611E-2</v>
      </c>
      <c r="C952">
        <f t="shared" ca="1" si="43"/>
        <v>0.27876205152946415</v>
      </c>
      <c r="D952" s="9">
        <f ca="1">Assumptions!B$3*(1+B952)^24*(1-C952/12)^24</f>
        <v>610756.9546739721</v>
      </c>
      <c r="E952" s="9">
        <f t="shared" ca="1" si="44"/>
        <v>7329083.4560876656</v>
      </c>
    </row>
    <row r="953" spans="1:5" x14ac:dyDescent="0.35">
      <c r="A953">
        <v>940</v>
      </c>
      <c r="B953">
        <f t="shared" ca="1" si="42"/>
        <v>3.3728275059457372E-2</v>
      </c>
      <c r="C953">
        <f t="shared" ca="1" si="43"/>
        <v>0.31726718349627792</v>
      </c>
      <c r="D953" s="9">
        <f ca="1">Assumptions!B$3*(1+B953)^24*(1-C953/12)^24</f>
        <v>531552.46078632376</v>
      </c>
      <c r="E953" s="9">
        <f t="shared" ca="1" si="44"/>
        <v>6378629.5294358851</v>
      </c>
    </row>
    <row r="954" spans="1:5" x14ac:dyDescent="0.35">
      <c r="A954">
        <v>941</v>
      </c>
      <c r="B954">
        <f t="shared" ca="1" si="42"/>
        <v>3.6984339563302361E-2</v>
      </c>
      <c r="C954">
        <f t="shared" ca="1" si="43"/>
        <v>0.24418866487014607</v>
      </c>
      <c r="D954" s="9">
        <f ca="1">Assumptions!B$3*(1+B954)^24*(1-C954/12)^24</f>
        <v>665765.52473774494</v>
      </c>
      <c r="E954" s="9">
        <f t="shared" ca="1" si="44"/>
        <v>7989186.2968529388</v>
      </c>
    </row>
    <row r="955" spans="1:5" x14ac:dyDescent="0.35">
      <c r="A955">
        <v>942</v>
      </c>
      <c r="B955">
        <f t="shared" ca="1" si="42"/>
        <v>3.814491078349546E-2</v>
      </c>
      <c r="C955">
        <f t="shared" ca="1" si="43"/>
        <v>0.31357396973340623</v>
      </c>
      <c r="D955" s="9">
        <f ca="1">Assumptions!B$3*(1+B955)^24*(1-C955/12)^24</f>
        <v>593305.84235205979</v>
      </c>
      <c r="E955" s="9">
        <f t="shared" ca="1" si="44"/>
        <v>7119670.1082247179</v>
      </c>
    </row>
    <row r="956" spans="1:5" x14ac:dyDescent="0.35">
      <c r="A956">
        <v>943</v>
      </c>
      <c r="B956">
        <f t="shared" ca="1" si="42"/>
        <v>3.3821478537987282E-2</v>
      </c>
      <c r="C956">
        <f t="shared" ca="1" si="43"/>
        <v>0.3311738256897796</v>
      </c>
      <c r="D956" s="9">
        <f ca="1">Assumptions!B$3*(1+B956)^24*(1-C956/12)^24</f>
        <v>517691.79390656803</v>
      </c>
      <c r="E956" s="9">
        <f t="shared" ca="1" si="44"/>
        <v>6212301.5268788161</v>
      </c>
    </row>
    <row r="957" spans="1:5" x14ac:dyDescent="0.35">
      <c r="A957">
        <v>944</v>
      </c>
      <c r="B957">
        <f t="shared" ca="1" si="42"/>
        <v>3.4795060667700904E-2</v>
      </c>
      <c r="C957">
        <f t="shared" ca="1" si="43"/>
        <v>0.30206941812514676</v>
      </c>
      <c r="D957" s="9">
        <f ca="1">Assumptions!B$3*(1+B957)^24*(1-C957/12)^24</f>
        <v>562143.58439554449</v>
      </c>
      <c r="E957" s="9">
        <f t="shared" ca="1" si="44"/>
        <v>6745723.0127465334</v>
      </c>
    </row>
    <row r="958" spans="1:5" x14ac:dyDescent="0.35">
      <c r="A958">
        <v>945</v>
      </c>
      <c r="B958">
        <f t="shared" ca="1" si="42"/>
        <v>3.8217161795962802E-2</v>
      </c>
      <c r="C958">
        <f t="shared" ca="1" si="43"/>
        <v>0.29940334166796628</v>
      </c>
      <c r="D958" s="9">
        <f ca="1">Assumptions!B$3*(1+B958)^24*(1-C958/12)^24</f>
        <v>611836.05397038104</v>
      </c>
      <c r="E958" s="9">
        <f t="shared" ca="1" si="44"/>
        <v>7342032.647644572</v>
      </c>
    </row>
    <row r="959" spans="1:5" x14ac:dyDescent="0.35">
      <c r="A959">
        <v>946</v>
      </c>
      <c r="B959">
        <f t="shared" ca="1" si="42"/>
        <v>1.6051946904277845E-2</v>
      </c>
      <c r="C959">
        <f t="shared" ca="1" si="43"/>
        <v>0.31240446440509939</v>
      </c>
      <c r="D959" s="9">
        <f ca="1">Assumptions!B$3*(1+B959)^24*(1-C959/12)^24</f>
        <v>354904.93833513616</v>
      </c>
      <c r="E959" s="9">
        <f t="shared" ca="1" si="44"/>
        <v>4258859.2600216344</v>
      </c>
    </row>
    <row r="960" spans="1:5" x14ac:dyDescent="0.35">
      <c r="A960">
        <v>947</v>
      </c>
      <c r="B960">
        <f t="shared" ca="1" si="42"/>
        <v>1.8541276819571167E-2</v>
      </c>
      <c r="C960">
        <f t="shared" ca="1" si="43"/>
        <v>0.23836193211007906</v>
      </c>
      <c r="D960" s="9">
        <f ca="1">Assumptions!B$3*(1+B960)^24*(1-C960/12)^24</f>
        <v>437966.25158315356</v>
      </c>
      <c r="E960" s="9">
        <f t="shared" ca="1" si="44"/>
        <v>5255595.0189978424</v>
      </c>
    </row>
    <row r="961" spans="1:5" x14ac:dyDescent="0.35">
      <c r="A961">
        <v>948</v>
      </c>
      <c r="B961">
        <f t="shared" ca="1" si="42"/>
        <v>3.4158908496247024E-2</v>
      </c>
      <c r="C961">
        <f t="shared" ca="1" si="43"/>
        <v>0.28384171522646634</v>
      </c>
      <c r="D961" s="9">
        <f ca="1">Assumptions!B$3*(1+B961)^24*(1-C961/12)^24</f>
        <v>574997.76912029926</v>
      </c>
      <c r="E961" s="9">
        <f t="shared" ca="1" si="44"/>
        <v>6899973.2294435911</v>
      </c>
    </row>
    <row r="962" spans="1:5" x14ac:dyDescent="0.35">
      <c r="A962">
        <v>949</v>
      </c>
      <c r="B962">
        <f t="shared" ca="1" si="42"/>
        <v>8.8068098916045875E-3</v>
      </c>
      <c r="C962">
        <f t="shared" ca="1" si="43"/>
        <v>0.36318671728720325</v>
      </c>
      <c r="D962" s="9">
        <f ca="1">Assumptions!B$3*(1+B962)^24*(1-C962/12)^24</f>
        <v>269237.58231917035</v>
      </c>
      <c r="E962" s="9">
        <f t="shared" ca="1" si="44"/>
        <v>3230850.9878300442</v>
      </c>
    </row>
    <row r="963" spans="1:5" x14ac:dyDescent="0.35">
      <c r="A963">
        <v>950</v>
      </c>
      <c r="B963">
        <f t="shared" ca="1" si="42"/>
        <v>4.2373085085042103E-2</v>
      </c>
      <c r="C963">
        <f t="shared" ca="1" si="43"/>
        <v>0.23977320557347792</v>
      </c>
      <c r="D963" s="9">
        <f ca="1">Assumptions!B$3*(1+B963)^24*(1-C963/12)^24</f>
        <v>760780.26931607106</v>
      </c>
      <c r="E963" s="9">
        <f t="shared" ca="1" si="44"/>
        <v>9129363.2317928523</v>
      </c>
    </row>
    <row r="964" spans="1:5" x14ac:dyDescent="0.35">
      <c r="A964">
        <v>951</v>
      </c>
      <c r="B964">
        <f t="shared" ca="1" si="42"/>
        <v>3.096215355753083E-2</v>
      </c>
      <c r="C964">
        <f t="shared" ca="1" si="43"/>
        <v>0.25815044045134194</v>
      </c>
      <c r="D964" s="9">
        <f ca="1">Assumptions!B$3*(1+B964)^24*(1-C964/12)^24</f>
        <v>562636.10782940057</v>
      </c>
      <c r="E964" s="9">
        <f t="shared" ca="1" si="44"/>
        <v>6751633.2939528069</v>
      </c>
    </row>
    <row r="965" spans="1:5" x14ac:dyDescent="0.35">
      <c r="A965">
        <v>952</v>
      </c>
      <c r="B965">
        <f t="shared" ca="1" si="42"/>
        <v>2.1472438936135291E-2</v>
      </c>
      <c r="C965">
        <f t="shared" ca="1" si="43"/>
        <v>0.2991842010776945</v>
      </c>
      <c r="D965" s="9">
        <f ca="1">Assumptions!B$3*(1+B965)^24*(1-C965/12)^24</f>
        <v>414336.38034844812</v>
      </c>
      <c r="E965" s="9">
        <f t="shared" ca="1" si="44"/>
        <v>4972036.5641813772</v>
      </c>
    </row>
    <row r="966" spans="1:5" x14ac:dyDescent="0.35">
      <c r="A966">
        <v>953</v>
      </c>
      <c r="B966">
        <f t="shared" ca="1" si="42"/>
        <v>3.1594800013113176E-2</v>
      </c>
      <c r="C966">
        <f t="shared" ca="1" si="43"/>
        <v>0.31798987223635578</v>
      </c>
      <c r="D966" s="9">
        <f ca="1">Assumptions!B$3*(1+B966)^24*(1-C966/12)^24</f>
        <v>505088.31182392116</v>
      </c>
      <c r="E966" s="9">
        <f t="shared" ca="1" si="44"/>
        <v>6061059.7418870535</v>
      </c>
    </row>
    <row r="967" spans="1:5" x14ac:dyDescent="0.35">
      <c r="A967">
        <v>954</v>
      </c>
      <c r="B967">
        <f t="shared" ca="1" si="42"/>
        <v>2.9652909907207325E-2</v>
      </c>
      <c r="C967">
        <f t="shared" ca="1" si="43"/>
        <v>0.2734607304782305</v>
      </c>
      <c r="D967" s="9">
        <f ca="1">Assumptions!B$3*(1+B967)^24*(1-C967/12)^24</f>
        <v>528911.60474184284</v>
      </c>
      <c r="E967" s="9">
        <f t="shared" ca="1" si="44"/>
        <v>6346939.2569021136</v>
      </c>
    </row>
    <row r="968" spans="1:5" x14ac:dyDescent="0.35">
      <c r="A968">
        <v>955</v>
      </c>
      <c r="B968">
        <f t="shared" ca="1" si="42"/>
        <v>3.4747398548273516E-2</v>
      </c>
      <c r="C968">
        <f t="shared" ca="1" si="43"/>
        <v>0.26836500787490564</v>
      </c>
      <c r="D968" s="9">
        <f ca="1">Assumptions!B$3*(1+B968)^24*(1-C968/12)^24</f>
        <v>601665.65960084717</v>
      </c>
      <c r="E968" s="9">
        <f t="shared" ca="1" si="44"/>
        <v>7219987.915210166</v>
      </c>
    </row>
    <row r="969" spans="1:5" x14ac:dyDescent="0.35">
      <c r="A969">
        <v>956</v>
      </c>
      <c r="B969">
        <f t="shared" ca="1" si="42"/>
        <v>2.7769621501821187E-2</v>
      </c>
      <c r="C969">
        <f t="shared" ca="1" si="43"/>
        <v>0.3132717397930691</v>
      </c>
      <c r="D969" s="9">
        <f ca="1">Assumptions!B$3*(1+B969)^24*(1-C969/12)^24</f>
        <v>466503.94306801108</v>
      </c>
      <c r="E969" s="9">
        <f t="shared" ca="1" si="44"/>
        <v>5598047.3168161325</v>
      </c>
    </row>
    <row r="970" spans="1:5" x14ac:dyDescent="0.35">
      <c r="A970">
        <v>957</v>
      </c>
      <c r="B970">
        <f t="shared" ca="1" si="42"/>
        <v>2.5824939955604902E-2</v>
      </c>
      <c r="C970">
        <f t="shared" ca="1" si="43"/>
        <v>0.32915277013334565</v>
      </c>
      <c r="D970" s="9">
        <f ca="1">Assumptions!B$3*(1+B970)^24*(1-C970/12)^24</f>
        <v>431460.73394503066</v>
      </c>
      <c r="E970" s="9">
        <f t="shared" ca="1" si="44"/>
        <v>5177528.8073403677</v>
      </c>
    </row>
    <row r="971" spans="1:5" x14ac:dyDescent="0.35">
      <c r="A971">
        <v>958</v>
      </c>
      <c r="B971">
        <f t="shared" ca="1" si="42"/>
        <v>2.6927212662456759E-2</v>
      </c>
      <c r="C971">
        <f t="shared" ca="1" si="43"/>
        <v>0.2241630255471333</v>
      </c>
      <c r="D971" s="9">
        <f ca="1">Assumptions!B$3*(1+B971)^24*(1-C971/12)^24</f>
        <v>548884.16603276099</v>
      </c>
      <c r="E971" s="9">
        <f t="shared" ca="1" si="44"/>
        <v>6586609.9923931323</v>
      </c>
    </row>
    <row r="972" spans="1:5" x14ac:dyDescent="0.35">
      <c r="A972">
        <v>959</v>
      </c>
      <c r="B972">
        <f t="shared" ca="1" si="42"/>
        <v>2.059714093568759E-2</v>
      </c>
      <c r="C972">
        <f t="shared" ca="1" si="43"/>
        <v>0.28004418929471903</v>
      </c>
      <c r="D972" s="9">
        <f ca="1">Assumptions!B$3*(1+B972)^24*(1-C972/12)^24</f>
        <v>422137.26427807793</v>
      </c>
      <c r="E972" s="9">
        <f t="shared" ca="1" si="44"/>
        <v>5065647.1713369349</v>
      </c>
    </row>
    <row r="973" spans="1:5" x14ac:dyDescent="0.35">
      <c r="A973">
        <v>960</v>
      </c>
      <c r="B973">
        <f t="shared" ca="1" si="42"/>
        <v>3.8104063054904186E-2</v>
      </c>
      <c r="C973">
        <f t="shared" ca="1" si="43"/>
        <v>0.31157594019037838</v>
      </c>
      <c r="D973" s="9">
        <f ca="1">Assumptions!B$3*(1+B973)^24*(1-C973/12)^24</f>
        <v>595182.81439700257</v>
      </c>
      <c r="E973" s="9">
        <f t="shared" ca="1" si="44"/>
        <v>7142193.7727640308</v>
      </c>
    </row>
    <row r="974" spans="1:5" x14ac:dyDescent="0.35">
      <c r="A974">
        <v>961</v>
      </c>
      <c r="B974">
        <f t="shared" ca="1" si="42"/>
        <v>1.8426131201147198E-2</v>
      </c>
      <c r="C974">
        <f t="shared" ca="1" si="43"/>
        <v>0.30784601389087951</v>
      </c>
      <c r="D974" s="9">
        <f ca="1">Assumptions!B$3*(1+B974)^24*(1-C974/12)^24</f>
        <v>378881.52178337384</v>
      </c>
      <c r="E974" s="9">
        <f t="shared" ca="1" si="44"/>
        <v>4546578.2614004863</v>
      </c>
    </row>
    <row r="975" spans="1:5" x14ac:dyDescent="0.35">
      <c r="A975">
        <v>962</v>
      </c>
      <c r="B975">
        <f t="shared" ca="1" si="42"/>
        <v>2.2348265985348195E-2</v>
      </c>
      <c r="C975">
        <f t="shared" ca="1" si="43"/>
        <v>0.22242714366793279</v>
      </c>
      <c r="D975" s="9">
        <f ca="1">Assumptions!B$3*(1+B975)^24*(1-C975/12)^24</f>
        <v>494809.36840202095</v>
      </c>
      <c r="E975" s="9">
        <f t="shared" ca="1" si="44"/>
        <v>5937712.4208242511</v>
      </c>
    </row>
    <row r="976" spans="1:5" x14ac:dyDescent="0.35">
      <c r="A976">
        <v>963</v>
      </c>
      <c r="B976">
        <f t="shared" ref="B976:B1013" ca="1" si="45">_xlfn.NORM.INV(RAND(), $B$4, $B$5)</f>
        <v>7.1471345848130551E-3</v>
      </c>
      <c r="C976">
        <f t="shared" ref="C976:C1013" ca="1" si="46">+_xlfn.NORM.INV(RAND(), $B$6, $B$7)</f>
        <v>0.20111916487625564</v>
      </c>
      <c r="D976" s="9">
        <f ca="1">Assumptions!B$3*(1+B976)^24*(1-C976/12)^24</f>
        <v>360691.28283417923</v>
      </c>
      <c r="E976" s="9">
        <f t="shared" ref="E976:E1013" ca="1" si="47">D976*12</f>
        <v>4328295.3940101508</v>
      </c>
    </row>
    <row r="977" spans="1:5" x14ac:dyDescent="0.35">
      <c r="A977">
        <v>964</v>
      </c>
      <c r="B977">
        <f t="shared" ca="1" si="45"/>
        <v>3.4185201472305242E-2</v>
      </c>
      <c r="C977">
        <f t="shared" ca="1" si="46"/>
        <v>0.28939414605854547</v>
      </c>
      <c r="D977" s="9">
        <f ca="1">Assumptions!B$3*(1+B977)^24*(1-C977/12)^24</f>
        <v>568840.31402722944</v>
      </c>
      <c r="E977" s="9">
        <f t="shared" ca="1" si="47"/>
        <v>6826083.7683267538</v>
      </c>
    </row>
    <row r="978" spans="1:5" x14ac:dyDescent="0.35">
      <c r="A978">
        <v>965</v>
      </c>
      <c r="B978">
        <f t="shared" ca="1" si="45"/>
        <v>4.6217425198692999E-2</v>
      </c>
      <c r="C978">
        <f t="shared" ca="1" si="46"/>
        <v>0.30376253597863384</v>
      </c>
      <c r="D978" s="9">
        <f ca="1">Assumptions!B$3*(1+B978)^24*(1-C978/12)^24</f>
        <v>729056.1874098382</v>
      </c>
      <c r="E978" s="9">
        <f t="shared" ca="1" si="47"/>
        <v>8748674.2489180584</v>
      </c>
    </row>
    <row r="979" spans="1:5" x14ac:dyDescent="0.35">
      <c r="A979">
        <v>966</v>
      </c>
      <c r="B979">
        <f t="shared" ca="1" si="45"/>
        <v>3.8303563155032701E-2</v>
      </c>
      <c r="C979">
        <f t="shared" ca="1" si="46"/>
        <v>0.22574319134409274</v>
      </c>
      <c r="D979" s="9">
        <f ca="1">Assumptions!B$3*(1+B979)^24*(1-C979/12)^24</f>
        <v>712712.43181178498</v>
      </c>
      <c r="E979" s="9">
        <f t="shared" ca="1" si="47"/>
        <v>8552549.1817414202</v>
      </c>
    </row>
    <row r="980" spans="1:5" x14ac:dyDescent="0.35">
      <c r="A980">
        <v>967</v>
      </c>
      <c r="B980">
        <f t="shared" ca="1" si="45"/>
        <v>3.0507737380563334E-2</v>
      </c>
      <c r="C980">
        <f t="shared" ca="1" si="46"/>
        <v>0.27650330862568728</v>
      </c>
      <c r="D980" s="9">
        <f ca="1">Assumptions!B$3*(1+B980)^24*(1-C980/12)^24</f>
        <v>536201.59912398679</v>
      </c>
      <c r="E980" s="9">
        <f t="shared" ca="1" si="47"/>
        <v>6434419.189487841</v>
      </c>
    </row>
    <row r="981" spans="1:5" x14ac:dyDescent="0.35">
      <c r="A981">
        <v>968</v>
      </c>
      <c r="B981">
        <f t="shared" ca="1" si="45"/>
        <v>3.1851567804638416E-2</v>
      </c>
      <c r="C981">
        <f t="shared" ca="1" si="46"/>
        <v>0.26216194602732662</v>
      </c>
      <c r="D981" s="9">
        <f ca="1">Assumptions!B$3*(1+B981)^24*(1-C981/12)^24</f>
        <v>569710.43373135163</v>
      </c>
      <c r="E981" s="9">
        <f t="shared" ca="1" si="47"/>
        <v>6836525.20477622</v>
      </c>
    </row>
    <row r="982" spans="1:5" x14ac:dyDescent="0.35">
      <c r="A982">
        <v>969</v>
      </c>
      <c r="B982">
        <f t="shared" ca="1" si="45"/>
        <v>1.8140717570477895E-2</v>
      </c>
      <c r="C982">
        <f t="shared" ca="1" si="46"/>
        <v>0.3263023858139768</v>
      </c>
      <c r="D982" s="9">
        <f ca="1">Assumptions!B$3*(1+B982)^24*(1-C982/12)^24</f>
        <v>362339.65692065802</v>
      </c>
      <c r="E982" s="9">
        <f t="shared" ca="1" si="47"/>
        <v>4348075.8830478964</v>
      </c>
    </row>
    <row r="983" spans="1:5" x14ac:dyDescent="0.35">
      <c r="A983">
        <v>970</v>
      </c>
      <c r="B983">
        <f t="shared" ca="1" si="45"/>
        <v>2.9556556074237E-2</v>
      </c>
      <c r="C983">
        <f t="shared" ca="1" si="46"/>
        <v>0.17177331503771978</v>
      </c>
      <c r="D983" s="9">
        <f ca="1">Assumptions!B$3*(1+B983)^24*(1-C983/12)^24</f>
        <v>649235.58299007383</v>
      </c>
      <c r="E983" s="9">
        <f t="shared" ca="1" si="47"/>
        <v>7790826.995880886</v>
      </c>
    </row>
    <row r="984" spans="1:5" x14ac:dyDescent="0.35">
      <c r="A984">
        <v>971</v>
      </c>
      <c r="B984">
        <f t="shared" ca="1" si="45"/>
        <v>3.8534783912043021E-2</v>
      </c>
      <c r="C984">
        <f t="shared" ca="1" si="46"/>
        <v>0.27339266876305462</v>
      </c>
      <c r="D984" s="9">
        <f ca="1">Assumptions!B$3*(1+B984)^24*(1-C984/12)^24</f>
        <v>650082.22667761729</v>
      </c>
      <c r="E984" s="9">
        <f t="shared" ca="1" si="47"/>
        <v>7800986.7201314075</v>
      </c>
    </row>
    <row r="985" spans="1:5" x14ac:dyDescent="0.35">
      <c r="A985">
        <v>972</v>
      </c>
      <c r="B985">
        <f t="shared" ca="1" si="45"/>
        <v>2.5071315605862426E-2</v>
      </c>
      <c r="C985">
        <f t="shared" ca="1" si="46"/>
        <v>0.25524059820251715</v>
      </c>
      <c r="D985" s="9">
        <f ca="1">Assumptions!B$3*(1+B985)^24*(1-C985/12)^24</f>
        <v>493267.95337300655</v>
      </c>
      <c r="E985" s="9">
        <f t="shared" ca="1" si="47"/>
        <v>5919215.4404760785</v>
      </c>
    </row>
    <row r="986" spans="1:5" x14ac:dyDescent="0.35">
      <c r="A986">
        <v>973</v>
      </c>
      <c r="B986">
        <f t="shared" ca="1" si="45"/>
        <v>2.8155885387904155E-2</v>
      </c>
      <c r="C986">
        <f t="shared" ca="1" si="46"/>
        <v>0.28041306164545649</v>
      </c>
      <c r="D986" s="9">
        <f ca="1">Assumptions!B$3*(1+B986)^24*(1-C986/12)^24</f>
        <v>503542.89832363772</v>
      </c>
      <c r="E986" s="9">
        <f t="shared" ca="1" si="47"/>
        <v>6042514.7798836529</v>
      </c>
    </row>
    <row r="987" spans="1:5" x14ac:dyDescent="0.35">
      <c r="A987">
        <v>974</v>
      </c>
      <c r="B987">
        <f t="shared" ca="1" si="45"/>
        <v>3.3470029433568471E-2</v>
      </c>
      <c r="C987">
        <f t="shared" ca="1" si="46"/>
        <v>0.32227349224291046</v>
      </c>
      <c r="D987" s="9">
        <f ca="1">Assumptions!B$3*(1+B987)^24*(1-C987/12)^24</f>
        <v>522967.1974384872</v>
      </c>
      <c r="E987" s="9">
        <f t="shared" ca="1" si="47"/>
        <v>6275606.3692618459</v>
      </c>
    </row>
    <row r="988" spans="1:5" x14ac:dyDescent="0.35">
      <c r="A988">
        <v>975</v>
      </c>
      <c r="B988">
        <f t="shared" ca="1" si="45"/>
        <v>3.1252029038294236E-2</v>
      </c>
      <c r="C988">
        <f t="shared" ca="1" si="46"/>
        <v>0.34606105874798876</v>
      </c>
      <c r="D988" s="9">
        <f ca="1">Assumptions!B$3*(1+B988)^24*(1-C988/12)^24</f>
        <v>472963.12175665592</v>
      </c>
      <c r="E988" s="9">
        <f t="shared" ca="1" si="47"/>
        <v>5675557.4610798713</v>
      </c>
    </row>
    <row r="989" spans="1:5" x14ac:dyDescent="0.35">
      <c r="A989">
        <v>976</v>
      </c>
      <c r="B989">
        <f t="shared" ca="1" si="45"/>
        <v>2.3726416477979271E-2</v>
      </c>
      <c r="C989">
        <f t="shared" ca="1" si="46"/>
        <v>0.24133966640738241</v>
      </c>
      <c r="D989" s="9">
        <f ca="1">Assumptions!B$3*(1+B989)^24*(1-C989/12)^24</f>
        <v>491731.58193631284</v>
      </c>
      <c r="E989" s="9">
        <f t="shared" ca="1" si="47"/>
        <v>5900778.9832357541</v>
      </c>
    </row>
    <row r="990" spans="1:5" x14ac:dyDescent="0.35">
      <c r="A990">
        <v>977</v>
      </c>
      <c r="B990">
        <f t="shared" ca="1" si="45"/>
        <v>3.3647432334178232E-2</v>
      </c>
      <c r="C990">
        <f t="shared" ca="1" si="46"/>
        <v>0.36351305779300869</v>
      </c>
      <c r="D990" s="9">
        <f ca="1">Assumptions!B$3*(1+B990)^24*(1-C990/12)^24</f>
        <v>482380.31073888543</v>
      </c>
      <c r="E990" s="9">
        <f t="shared" ca="1" si="47"/>
        <v>5788563.7288666256</v>
      </c>
    </row>
    <row r="991" spans="1:5" x14ac:dyDescent="0.35">
      <c r="A991">
        <v>978</v>
      </c>
      <c r="B991">
        <f t="shared" ca="1" si="45"/>
        <v>3.5943282559233777E-2</v>
      </c>
      <c r="C991">
        <f t="shared" ca="1" si="46"/>
        <v>0.30541137613633662</v>
      </c>
      <c r="D991" s="9">
        <f ca="1">Assumptions!B$3*(1+B991)^24*(1-C991/12)^24</f>
        <v>573361.12798778212</v>
      </c>
      <c r="E991" s="9">
        <f t="shared" ca="1" si="47"/>
        <v>6880333.5358533859</v>
      </c>
    </row>
    <row r="992" spans="1:5" x14ac:dyDescent="0.35">
      <c r="A992">
        <v>979</v>
      </c>
      <c r="B992">
        <f t="shared" ca="1" si="45"/>
        <v>4.0684521125806727E-2</v>
      </c>
      <c r="C992">
        <f t="shared" ca="1" si="46"/>
        <v>0.37384483980849115</v>
      </c>
      <c r="D992" s="9">
        <f ca="1">Assumptions!B$3*(1+B992)^24*(1-C992/12)^24</f>
        <v>555713.57470163563</v>
      </c>
      <c r="E992" s="9">
        <f t="shared" ca="1" si="47"/>
        <v>6668562.8964196276</v>
      </c>
    </row>
    <row r="993" spans="1:5" x14ac:dyDescent="0.35">
      <c r="A993">
        <v>980</v>
      </c>
      <c r="B993">
        <f t="shared" ca="1" si="45"/>
        <v>1.2899488851726225E-2</v>
      </c>
      <c r="C993">
        <f t="shared" ca="1" si="46"/>
        <v>0.20920065347935013</v>
      </c>
      <c r="D993" s="9">
        <f ca="1">Assumptions!B$3*(1+B993)^24*(1-C993/12)^24</f>
        <v>406777.00007267203</v>
      </c>
      <c r="E993" s="9">
        <f t="shared" ca="1" si="47"/>
        <v>4881324.0008720644</v>
      </c>
    </row>
    <row r="994" spans="1:5" x14ac:dyDescent="0.35">
      <c r="A994">
        <v>981</v>
      </c>
      <c r="B994">
        <f t="shared" ca="1" si="45"/>
        <v>3.2688365548483915E-2</v>
      </c>
      <c r="C994">
        <f t="shared" ca="1" si="46"/>
        <v>0.28829668632824712</v>
      </c>
      <c r="D994" s="9">
        <f ca="1">Assumptions!B$3*(1+B994)^24*(1-C994/12)^24</f>
        <v>550643.20543381618</v>
      </c>
      <c r="E994" s="9">
        <f t="shared" ca="1" si="47"/>
        <v>6607718.4652057942</v>
      </c>
    </row>
    <row r="995" spans="1:5" x14ac:dyDescent="0.35">
      <c r="A995">
        <v>982</v>
      </c>
      <c r="B995">
        <f t="shared" ca="1" si="45"/>
        <v>2.2599561830547378E-2</v>
      </c>
      <c r="C995">
        <f t="shared" ca="1" si="46"/>
        <v>0.26780378193351811</v>
      </c>
      <c r="D995" s="9">
        <f ca="1">Assumptions!B$3*(1+B995)^24*(1-C995/12)^24</f>
        <v>453695.06623464817</v>
      </c>
      <c r="E995" s="9">
        <f t="shared" ca="1" si="47"/>
        <v>5444340.7948157778</v>
      </c>
    </row>
    <row r="996" spans="1:5" x14ac:dyDescent="0.35">
      <c r="A996">
        <v>983</v>
      </c>
      <c r="B996">
        <f t="shared" ca="1" si="45"/>
        <v>3.016880610102134E-2</v>
      </c>
      <c r="C996">
        <f t="shared" ca="1" si="46"/>
        <v>0.19962252082505363</v>
      </c>
      <c r="D996" s="9">
        <f ca="1">Assumptions!B$3*(1+B996)^24*(1-C996/12)^24</f>
        <v>622341.92386335263</v>
      </c>
      <c r="E996" s="9">
        <f t="shared" ca="1" si="47"/>
        <v>7468103.086360231</v>
      </c>
    </row>
    <row r="997" spans="1:5" x14ac:dyDescent="0.35">
      <c r="A997">
        <v>984</v>
      </c>
      <c r="B997">
        <f t="shared" ca="1" si="45"/>
        <v>3.9151084817226137E-2</v>
      </c>
      <c r="C997">
        <f t="shared" ca="1" si="46"/>
        <v>0.26694253636665655</v>
      </c>
      <c r="D997" s="9">
        <f ca="1">Assumptions!B$3*(1+B997)^24*(1-C997/12)^24</f>
        <v>668164.51160014339</v>
      </c>
      <c r="E997" s="9">
        <f t="shared" ca="1" si="47"/>
        <v>8017974.1392017212</v>
      </c>
    </row>
    <row r="998" spans="1:5" x14ac:dyDescent="0.35">
      <c r="A998">
        <v>985</v>
      </c>
      <c r="B998">
        <f t="shared" ca="1" si="45"/>
        <v>3.6006284147032649E-2</v>
      </c>
      <c r="C998">
        <f t="shared" ca="1" si="46"/>
        <v>0.23593261492004924</v>
      </c>
      <c r="D998" s="9">
        <f ca="1">Assumptions!B$3*(1+B998)^24*(1-C998/12)^24</f>
        <v>661916.8104313286</v>
      </c>
      <c r="E998" s="9">
        <f t="shared" ca="1" si="47"/>
        <v>7943001.7251759432</v>
      </c>
    </row>
    <row r="999" spans="1:5" x14ac:dyDescent="0.35">
      <c r="A999">
        <v>986</v>
      </c>
      <c r="B999">
        <f t="shared" ca="1" si="45"/>
        <v>3.7089657816857677E-2</v>
      </c>
      <c r="C999">
        <f t="shared" ca="1" si="46"/>
        <v>0.28750792403259656</v>
      </c>
      <c r="D999" s="9">
        <f ca="1">Assumptions!B$3*(1+B999)^24*(1-C999/12)^24</f>
        <v>610802.3449798784</v>
      </c>
      <c r="E999" s="9">
        <f t="shared" ca="1" si="47"/>
        <v>7329628.1397585403</v>
      </c>
    </row>
    <row r="1000" spans="1:5" x14ac:dyDescent="0.35">
      <c r="A1000">
        <v>987</v>
      </c>
      <c r="B1000">
        <f t="shared" ca="1" si="45"/>
        <v>5.1625846631192407E-2</v>
      </c>
      <c r="C1000">
        <f t="shared" ca="1" si="46"/>
        <v>0.20598081367374355</v>
      </c>
      <c r="D1000" s="9">
        <f ca="1">Assumptions!B$3*(1+B1000)^24*(1-C1000/12)^24</f>
        <v>1007580.9070885178</v>
      </c>
      <c r="E1000" s="9">
        <f t="shared" ca="1" si="47"/>
        <v>12090970.885062214</v>
      </c>
    </row>
    <row r="1001" spans="1:5" x14ac:dyDescent="0.35">
      <c r="A1001">
        <v>988</v>
      </c>
      <c r="B1001">
        <f t="shared" ca="1" si="45"/>
        <v>3.1183248110636996E-2</v>
      </c>
      <c r="C1001">
        <f t="shared" ca="1" si="46"/>
        <v>0.31045134582952005</v>
      </c>
      <c r="D1001" s="9">
        <f ca="1">Assumptions!B$3*(1+B1001)^24*(1-C1001/12)^24</f>
        <v>508080.09730645298</v>
      </c>
      <c r="E1001" s="9">
        <f t="shared" ca="1" si="47"/>
        <v>6096961.167677436</v>
      </c>
    </row>
    <row r="1002" spans="1:5" x14ac:dyDescent="0.35">
      <c r="A1002">
        <v>989</v>
      </c>
      <c r="B1002">
        <f t="shared" ca="1" si="45"/>
        <v>3.4346038725237553E-2</v>
      </c>
      <c r="C1002">
        <f t="shared" ca="1" si="46"/>
        <v>0.25068562104705933</v>
      </c>
      <c r="D1002" s="9">
        <f ca="1">Assumptions!B$3*(1+B1002)^24*(1-C1002/12)^24</f>
        <v>618026.49489533622</v>
      </c>
      <c r="E1002" s="9">
        <f t="shared" ca="1" si="47"/>
        <v>7416317.9387440346</v>
      </c>
    </row>
    <row r="1003" spans="1:5" x14ac:dyDescent="0.35">
      <c r="A1003">
        <v>990</v>
      </c>
      <c r="B1003">
        <f t="shared" ca="1" si="45"/>
        <v>2.7695460845646325E-2</v>
      </c>
      <c r="C1003">
        <f t="shared" ca="1" si="46"/>
        <v>0.2192480293847108</v>
      </c>
      <c r="D1003" s="9">
        <f ca="1">Assumptions!B$3*(1+B1003)^24*(1-C1003/12)^24</f>
        <v>564449.11199502158</v>
      </c>
      <c r="E1003" s="9">
        <f t="shared" ca="1" si="47"/>
        <v>6773389.343940259</v>
      </c>
    </row>
    <row r="1004" spans="1:5" x14ac:dyDescent="0.35">
      <c r="A1004">
        <v>991</v>
      </c>
      <c r="B1004">
        <f t="shared" ca="1" si="45"/>
        <v>2.457128263191246E-2</v>
      </c>
      <c r="C1004">
        <f t="shared" ca="1" si="46"/>
        <v>0.23138111752550461</v>
      </c>
      <c r="D1004" s="9">
        <f ca="1">Assumptions!B$3*(1+B1004)^24*(1-C1004/12)^24</f>
        <v>511858.87816104194</v>
      </c>
      <c r="E1004" s="9">
        <f t="shared" ca="1" si="47"/>
        <v>6142306.537932503</v>
      </c>
    </row>
    <row r="1005" spans="1:5" x14ac:dyDescent="0.35">
      <c r="A1005">
        <v>992</v>
      </c>
      <c r="B1005">
        <f t="shared" ca="1" si="45"/>
        <v>2.4623478291211691E-2</v>
      </c>
      <c r="C1005">
        <f t="shared" ca="1" si="46"/>
        <v>0.20722238237072302</v>
      </c>
      <c r="D1005" s="9">
        <f ca="1">Assumptions!B$3*(1+B1005)^24*(1-C1005/12)^24</f>
        <v>538339.02239759057</v>
      </c>
      <c r="E1005" s="9">
        <f t="shared" ca="1" si="47"/>
        <v>6460068.2687710868</v>
      </c>
    </row>
    <row r="1006" spans="1:5" x14ac:dyDescent="0.35">
      <c r="A1006">
        <v>993</v>
      </c>
      <c r="B1006">
        <f t="shared" ca="1" si="45"/>
        <v>3.8267695037437655E-2</v>
      </c>
      <c r="C1006">
        <f t="shared" ca="1" si="46"/>
        <v>0.22415353112771522</v>
      </c>
      <c r="D1006" s="9">
        <f ca="1">Assumptions!B$3*(1+B1006)^24*(1-C1006/12)^24</f>
        <v>714432.82967301982</v>
      </c>
      <c r="E1006" s="9">
        <f t="shared" ca="1" si="47"/>
        <v>8573193.9560762383</v>
      </c>
    </row>
    <row r="1007" spans="1:5" x14ac:dyDescent="0.35">
      <c r="A1007">
        <v>994</v>
      </c>
      <c r="B1007">
        <f t="shared" ca="1" si="45"/>
        <v>3.4062177408926947E-2</v>
      </c>
      <c r="C1007">
        <f t="shared" ca="1" si="46"/>
        <v>0.22912779719366574</v>
      </c>
      <c r="D1007" s="9">
        <f ca="1">Assumptions!B$3*(1+B1007)^24*(1-C1007/12)^24</f>
        <v>641583.40665212518</v>
      </c>
      <c r="E1007" s="9">
        <f t="shared" ca="1" si="47"/>
        <v>7699000.8798255026</v>
      </c>
    </row>
    <row r="1008" spans="1:5" x14ac:dyDescent="0.35">
      <c r="A1008">
        <v>995</v>
      </c>
      <c r="B1008">
        <f t="shared" ca="1" si="45"/>
        <v>1.3929389154339365E-2</v>
      </c>
      <c r="C1008">
        <f t="shared" ca="1" si="46"/>
        <v>0.26661230239680828</v>
      </c>
      <c r="D1008" s="9">
        <f ca="1">Assumptions!B$3*(1+B1008)^24*(1-C1008/12)^24</f>
        <v>370743.16333827644</v>
      </c>
      <c r="E1008" s="9">
        <f t="shared" ca="1" si="47"/>
        <v>4448917.9600593168</v>
      </c>
    </row>
    <row r="1009" spans="1:5" x14ac:dyDescent="0.35">
      <c r="A1009">
        <v>996</v>
      </c>
      <c r="B1009">
        <f t="shared" ca="1" si="45"/>
        <v>2.0651264519038995E-2</v>
      </c>
      <c r="C1009">
        <f t="shared" ca="1" si="46"/>
        <v>0.19108243611985853</v>
      </c>
      <c r="D1009" s="9">
        <f ca="1">Assumptions!B$3*(1+B1009)^24*(1-C1009/12)^24</f>
        <v>506786.71933763137</v>
      </c>
      <c r="E1009" s="9">
        <f t="shared" ca="1" si="47"/>
        <v>6081440.6320515759</v>
      </c>
    </row>
    <row r="1010" spans="1:5" x14ac:dyDescent="0.35">
      <c r="A1010">
        <v>997</v>
      </c>
      <c r="B1010">
        <f t="shared" ca="1" si="45"/>
        <v>2.4727792858593993E-2</v>
      </c>
      <c r="C1010">
        <f t="shared" ca="1" si="46"/>
        <v>0.25208317577584716</v>
      </c>
      <c r="D1010" s="9">
        <f ca="1">Assumptions!B$3*(1+B1010)^24*(1-C1010/12)^24</f>
        <v>492482.78631082381</v>
      </c>
      <c r="E1010" s="9">
        <f t="shared" ca="1" si="47"/>
        <v>5909793.4357298855</v>
      </c>
    </row>
    <row r="1011" spans="1:5" x14ac:dyDescent="0.35">
      <c r="A1011">
        <v>998</v>
      </c>
      <c r="B1011">
        <f t="shared" ca="1" si="45"/>
        <v>3.4680806234037048E-2</v>
      </c>
      <c r="C1011">
        <f t="shared" ca="1" si="46"/>
        <v>0.27042154415777797</v>
      </c>
      <c r="D1011" s="9">
        <f ca="1">Assumptions!B$3*(1+B1011)^24*(1-C1011/12)^24</f>
        <v>598214.73778878292</v>
      </c>
      <c r="E1011" s="9">
        <f t="shared" ca="1" si="47"/>
        <v>7178576.853465395</v>
      </c>
    </row>
    <row r="1012" spans="1:5" x14ac:dyDescent="0.35">
      <c r="A1012">
        <v>999</v>
      </c>
      <c r="B1012">
        <f t="shared" ca="1" si="45"/>
        <v>2.8533467583299034E-2</v>
      </c>
      <c r="C1012">
        <f t="shared" ca="1" si="46"/>
        <v>0.25257612855502087</v>
      </c>
      <c r="D1012" s="9">
        <f ca="1">Assumptions!B$3*(1+B1012)^24*(1-C1012/12)^24</f>
        <v>537763.82446430263</v>
      </c>
      <c r="E1012" s="9">
        <f t="shared" ca="1" si="47"/>
        <v>6453165.893571632</v>
      </c>
    </row>
    <row r="1013" spans="1:5" x14ac:dyDescent="0.35">
      <c r="A1013">
        <v>1000</v>
      </c>
      <c r="B1013">
        <f t="shared" ca="1" si="45"/>
        <v>2.1998646869250855E-2</v>
      </c>
      <c r="C1013">
        <f t="shared" ca="1" si="46"/>
        <v>0.17009804519857036</v>
      </c>
      <c r="D1013" s="9">
        <f ca="1">Assumptions!B$3*(1+B1013)^24*(1-C1013/12)^24</f>
        <v>545859.85830032662</v>
      </c>
      <c r="E1013" s="9">
        <f t="shared" ca="1" si="47"/>
        <v>6550318.2996039195</v>
      </c>
    </row>
    <row r="1014" spans="1:5" x14ac:dyDescent="0.35">
      <c r="D1014" s="9"/>
      <c r="E1014" s="9"/>
    </row>
    <row r="1015" spans="1:5" x14ac:dyDescent="0.35">
      <c r="A1015" t="s">
        <v>114</v>
      </c>
      <c r="D1015" s="9"/>
      <c r="E1015" s="9"/>
    </row>
    <row r="1016" spans="1:5" x14ac:dyDescent="0.35">
      <c r="A1016" t="s">
        <v>115</v>
      </c>
      <c r="B1016" s="9">
        <f ca="1">AVERAGE(E14:E1013)</f>
        <v>6710773.1979983356</v>
      </c>
      <c r="D1016" s="9"/>
      <c r="E1016" s="9"/>
    </row>
    <row r="1017" spans="1:5" x14ac:dyDescent="0.35">
      <c r="A1017" t="s">
        <v>116</v>
      </c>
      <c r="B1017">
        <f ca="1">PERCENTILE(E14:E1013,0.1)</f>
        <v>4520187.3148377426</v>
      </c>
      <c r="D1017" s="9"/>
      <c r="E1017" s="9"/>
    </row>
    <row r="1018" spans="1:5" x14ac:dyDescent="0.35">
      <c r="A1018" t="s">
        <v>117</v>
      </c>
      <c r="B1018">
        <f ca="1">PERCENTILE(E14:E1013,0.5)</f>
        <v>6511809.5746380277</v>
      </c>
      <c r="D1018" s="9"/>
      <c r="E1018" s="9"/>
    </row>
    <row r="1019" spans="1:5" x14ac:dyDescent="0.35">
      <c r="A1019" t="s">
        <v>118</v>
      </c>
      <c r="B1019">
        <f ca="1">PERCENTILE(E14:E1013,0.9)</f>
        <v>9073744.1951600648</v>
      </c>
      <c r="D1019" s="9"/>
      <c r="E1019" s="9"/>
    </row>
    <row r="1020" spans="1:5" x14ac:dyDescent="0.35">
      <c r="A1020" t="s">
        <v>119</v>
      </c>
      <c r="B1020" s="9">
        <f ca="1">MIN(E14:E1013)</f>
        <v>3055864.8382771909</v>
      </c>
      <c r="D1020" s="9"/>
      <c r="E1020" s="9"/>
    </row>
    <row r="1021" spans="1:5" x14ac:dyDescent="0.35">
      <c r="A1021" t="s">
        <v>120</v>
      </c>
      <c r="B1021" s="9">
        <f ca="1">MAX(E14:E1013)</f>
        <v>13325504.993389495</v>
      </c>
      <c r="D1021" s="9"/>
      <c r="E1021" s="9"/>
    </row>
    <row r="1022" spans="1:5" x14ac:dyDescent="0.35">
      <c r="D1022" s="9"/>
      <c r="E1022" s="9"/>
    </row>
    <row r="1023" spans="1:5" x14ac:dyDescent="0.35">
      <c r="D1023" s="9"/>
      <c r="E1023" s="9"/>
    </row>
    <row r="1024" spans="1:5" x14ac:dyDescent="0.35">
      <c r="D1024" s="9"/>
      <c r="E1024" s="9"/>
    </row>
    <row r="1025" spans="4:5" x14ac:dyDescent="0.35">
      <c r="D1025" s="9"/>
      <c r="E1025" s="9"/>
    </row>
    <row r="1026" spans="4:5" x14ac:dyDescent="0.35">
      <c r="D1026" s="9"/>
      <c r="E1026" s="9"/>
    </row>
    <row r="1027" spans="4:5" x14ac:dyDescent="0.35">
      <c r="D1027" s="9"/>
      <c r="E1027" s="9"/>
    </row>
    <row r="1028" spans="4:5" x14ac:dyDescent="0.35">
      <c r="D1028" s="9"/>
      <c r="E1028" s="9"/>
    </row>
    <row r="1029" spans="4:5" x14ac:dyDescent="0.35">
      <c r="D1029" s="9"/>
      <c r="E1029" s="9"/>
    </row>
    <row r="1030" spans="4:5" x14ac:dyDescent="0.35">
      <c r="D1030" s="9"/>
      <c r="E1030" s="9"/>
    </row>
    <row r="1031" spans="4:5" x14ac:dyDescent="0.35">
      <c r="D1031" s="9"/>
      <c r="E1031" s="9"/>
    </row>
    <row r="1032" spans="4:5" x14ac:dyDescent="0.35">
      <c r="D1032" s="9"/>
      <c r="E1032" s="9"/>
    </row>
    <row r="1033" spans="4:5" x14ac:dyDescent="0.35">
      <c r="D1033" s="9"/>
      <c r="E1033" s="9"/>
    </row>
    <row r="1034" spans="4:5" x14ac:dyDescent="0.35">
      <c r="D1034" s="9"/>
      <c r="E1034" s="9"/>
    </row>
    <row r="1035" spans="4:5" x14ac:dyDescent="0.35">
      <c r="D1035" s="9"/>
      <c r="E1035" s="9"/>
    </row>
    <row r="1036" spans="4:5" x14ac:dyDescent="0.35">
      <c r="D1036" s="9"/>
      <c r="E1036" s="9"/>
    </row>
    <row r="1037" spans="4:5" x14ac:dyDescent="0.35">
      <c r="D1037" s="9"/>
      <c r="E1037" s="9"/>
    </row>
    <row r="1038" spans="4:5" x14ac:dyDescent="0.35">
      <c r="D1038" s="9"/>
      <c r="E1038" s="9"/>
    </row>
    <row r="1039" spans="4:5" x14ac:dyDescent="0.35">
      <c r="D1039" s="9"/>
      <c r="E1039" s="9"/>
    </row>
    <row r="1040" spans="4:5" x14ac:dyDescent="0.35">
      <c r="D1040" s="9"/>
      <c r="E1040" s="9"/>
    </row>
    <row r="1041" spans="4:5" x14ac:dyDescent="0.35">
      <c r="D1041" s="9"/>
      <c r="E1041" s="9"/>
    </row>
    <row r="1042" spans="4:5" x14ac:dyDescent="0.35">
      <c r="D1042" s="9"/>
      <c r="E1042" s="9"/>
    </row>
    <row r="1043" spans="4:5" x14ac:dyDescent="0.35">
      <c r="D1043" s="9"/>
      <c r="E1043" s="9"/>
    </row>
    <row r="1044" spans="4:5" x14ac:dyDescent="0.35">
      <c r="D1044" s="9"/>
      <c r="E1044" s="9"/>
    </row>
    <row r="1045" spans="4:5" x14ac:dyDescent="0.35">
      <c r="D1045" s="9"/>
      <c r="E1045" s="9"/>
    </row>
    <row r="1046" spans="4:5" x14ac:dyDescent="0.35">
      <c r="D1046" s="9"/>
      <c r="E1046" s="9"/>
    </row>
    <row r="1047" spans="4:5" x14ac:dyDescent="0.35">
      <c r="D1047" s="9"/>
      <c r="E1047" s="9"/>
    </row>
    <row r="1048" spans="4:5" x14ac:dyDescent="0.35">
      <c r="D1048" s="9"/>
      <c r="E1048" s="9"/>
    </row>
    <row r="1049" spans="4:5" x14ac:dyDescent="0.35">
      <c r="D1049" s="9"/>
      <c r="E1049" s="9"/>
    </row>
    <row r="1050" spans="4:5" x14ac:dyDescent="0.35">
      <c r="D1050" s="9"/>
      <c r="E1050" s="9"/>
    </row>
    <row r="1051" spans="4:5" x14ac:dyDescent="0.35">
      <c r="D1051" s="9"/>
      <c r="E1051" s="9"/>
    </row>
    <row r="1052" spans="4:5" x14ac:dyDescent="0.35">
      <c r="D1052" s="9"/>
      <c r="E1052" s="9"/>
    </row>
    <row r="1053" spans="4:5" x14ac:dyDescent="0.35">
      <c r="D1053" s="9"/>
      <c r="E1053" s="9"/>
    </row>
    <row r="1054" spans="4:5" x14ac:dyDescent="0.35">
      <c r="D1054" s="9"/>
      <c r="E1054" s="9"/>
    </row>
    <row r="1055" spans="4:5" x14ac:dyDescent="0.35">
      <c r="D1055" s="9"/>
      <c r="E1055" s="9"/>
    </row>
    <row r="1056" spans="4:5" x14ac:dyDescent="0.35">
      <c r="D1056" s="9"/>
      <c r="E1056" s="9"/>
    </row>
    <row r="1057" spans="4:5" x14ac:dyDescent="0.35">
      <c r="D1057" s="9"/>
      <c r="E1057" s="9"/>
    </row>
    <row r="1058" spans="4:5" x14ac:dyDescent="0.35">
      <c r="D1058" s="9"/>
      <c r="E1058" s="9"/>
    </row>
    <row r="1059" spans="4:5" x14ac:dyDescent="0.35">
      <c r="D1059" s="9"/>
      <c r="E1059" s="9"/>
    </row>
    <row r="1060" spans="4:5" x14ac:dyDescent="0.35">
      <c r="D1060" s="9"/>
      <c r="E1060" s="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62625-D2A6-4244-8B3D-0406865883DF}">
  <sheetPr>
    <tabColor rgb="FF00B050"/>
  </sheetPr>
  <dimension ref="A1:AG15"/>
  <sheetViews>
    <sheetView tabSelected="1" zoomScale="55" zoomScaleNormal="55" workbookViewId="0">
      <selection activeCell="F16" sqref="F16"/>
    </sheetView>
  </sheetViews>
  <sheetFormatPr defaultColWidth="9.81640625" defaultRowHeight="14.5" x14ac:dyDescent="0.35"/>
  <cols>
    <col min="1" max="3" width="60.7265625" customWidth="1"/>
    <col min="4" max="4" width="57.54296875" customWidth="1"/>
    <col min="10" max="10" width="9.453125" customWidth="1"/>
    <col min="11" max="11" width="9.81640625" customWidth="1"/>
    <col min="18" max="18" width="14.6328125" bestFit="1" customWidth="1"/>
    <col min="20" max="20" width="9.81640625" customWidth="1"/>
    <col min="21" max="21" width="17.453125" bestFit="1" customWidth="1"/>
    <col min="26" max="26" width="15.7265625" bestFit="1" customWidth="1"/>
    <col min="29" max="29" width="18.81640625" bestFit="1" customWidth="1"/>
  </cols>
  <sheetData>
    <row r="1" spans="1:33" ht="83.5" customHeight="1" thickTop="1" thickBot="1" x14ac:dyDescent="0.85">
      <c r="A1" s="56" t="s">
        <v>121</v>
      </c>
      <c r="B1" s="56" t="s">
        <v>97</v>
      </c>
      <c r="C1" s="57" t="s">
        <v>122</v>
      </c>
      <c r="D1" s="57" t="s">
        <v>123</v>
      </c>
      <c r="E1" s="49"/>
      <c r="F1" s="49"/>
      <c r="G1" s="49"/>
      <c r="H1" s="49"/>
      <c r="I1" s="49"/>
      <c r="J1" s="49"/>
      <c r="K1" s="49"/>
    </row>
    <row r="2" spans="1:33" ht="37" thickTop="1" thickBot="1" x14ac:dyDescent="0.85">
      <c r="A2" s="58">
        <f>'Revenue Model'!B14</f>
        <v>5473399.1999999993</v>
      </c>
      <c r="B2" s="58">
        <f>'Revenue Model'!Y14</f>
        <v>6608801.1922192248</v>
      </c>
      <c r="C2" s="58">
        <f>'P&amp;L'!Y7</f>
        <v>1090452.1967161717</v>
      </c>
      <c r="D2" s="59">
        <f>'Cash Flow'!Y20</f>
        <v>34095911.998459749</v>
      </c>
      <c r="E2" s="48"/>
      <c r="F2" s="48"/>
      <c r="G2" s="48"/>
      <c r="H2" s="48"/>
      <c r="I2" s="49"/>
      <c r="J2" s="50"/>
      <c r="K2" s="50"/>
      <c r="L2" s="48"/>
      <c r="M2" s="48"/>
      <c r="N2" s="48"/>
      <c r="O2" s="48"/>
      <c r="P2" s="48"/>
      <c r="Q2" s="49"/>
      <c r="R2" s="50"/>
      <c r="S2" s="50"/>
      <c r="T2" s="48"/>
      <c r="U2" s="48"/>
      <c r="V2" s="45"/>
      <c r="W2" s="45"/>
      <c r="X2" s="45"/>
      <c r="Z2" s="50"/>
      <c r="AA2" s="45"/>
      <c r="AB2" s="45"/>
      <c r="AC2" s="45"/>
      <c r="AD2" s="45"/>
    </row>
    <row r="3" spans="1:33" ht="26.5" thickTop="1" x14ac:dyDescent="0.6">
      <c r="B3" s="42"/>
      <c r="C3" s="42"/>
      <c r="D3" s="44"/>
      <c r="E3" s="53"/>
      <c r="F3" s="48"/>
      <c r="G3" s="51"/>
      <c r="H3" s="48"/>
      <c r="I3" s="52"/>
      <c r="J3" s="52"/>
      <c r="K3" s="52"/>
      <c r="L3" s="48"/>
      <c r="M3" s="48"/>
      <c r="N3" s="48"/>
      <c r="O3" s="51"/>
      <c r="P3" s="48"/>
      <c r="Q3" s="52"/>
      <c r="R3" s="52"/>
      <c r="S3" s="52"/>
      <c r="T3" s="48"/>
      <c r="U3" s="48"/>
      <c r="V3" s="45"/>
      <c r="W3" s="46"/>
      <c r="X3" s="45"/>
      <c r="Y3" s="47"/>
      <c r="Z3" s="47"/>
      <c r="AA3" s="45"/>
      <c r="AB3" s="45"/>
      <c r="AC3" s="45"/>
      <c r="AD3" s="45"/>
    </row>
    <row r="4" spans="1:33" x14ac:dyDescent="0.35">
      <c r="B4" s="45"/>
      <c r="C4" s="45"/>
      <c r="D4" s="45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5"/>
      <c r="W4" s="45"/>
      <c r="X4" s="45"/>
      <c r="Y4" s="45"/>
      <c r="Z4" s="45"/>
      <c r="AA4" s="45"/>
      <c r="AB4" s="45"/>
      <c r="AC4" s="45"/>
      <c r="AD4" s="45"/>
    </row>
    <row r="5" spans="1:33" x14ac:dyDescent="0.35">
      <c r="B5" s="45"/>
      <c r="C5" s="45"/>
      <c r="D5" s="45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</row>
    <row r="6" spans="1:33" x14ac:dyDescent="0.35">
      <c r="B6" s="45"/>
      <c r="C6" s="45"/>
      <c r="D6" s="45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</row>
    <row r="7" spans="1:33" x14ac:dyDescent="0.35">
      <c r="B7" s="45"/>
      <c r="C7" s="45"/>
      <c r="D7" s="45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</row>
    <row r="8" spans="1:33" x14ac:dyDescent="0.35">
      <c r="B8" s="45"/>
      <c r="C8" s="45"/>
      <c r="D8" s="45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</row>
    <row r="9" spans="1:33" x14ac:dyDescent="0.35">
      <c r="B9" s="45"/>
      <c r="C9" s="45"/>
      <c r="D9" s="45"/>
      <c r="E9" s="48"/>
      <c r="F9" s="48"/>
      <c r="G9" s="48"/>
      <c r="H9" s="48"/>
      <c r="I9" s="48"/>
      <c r="J9" s="48"/>
      <c r="K9" s="48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</row>
    <row r="10" spans="1:33" x14ac:dyDescent="0.35">
      <c r="B10" s="45"/>
      <c r="C10" s="45"/>
      <c r="D10" s="45"/>
      <c r="E10" s="48"/>
      <c r="F10" s="48"/>
      <c r="G10" s="48"/>
      <c r="H10" s="48"/>
      <c r="I10" s="48"/>
      <c r="J10" s="48"/>
      <c r="K10" s="48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</row>
    <row r="11" spans="1:33" x14ac:dyDescent="0.35">
      <c r="B11" s="45"/>
      <c r="C11" s="45"/>
      <c r="D11" s="45"/>
      <c r="E11" s="48"/>
      <c r="F11" s="48"/>
      <c r="G11" s="48"/>
      <c r="H11" s="48"/>
      <c r="I11" s="48"/>
      <c r="J11" s="48"/>
      <c r="K11" s="48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</row>
    <row r="12" spans="1:33" x14ac:dyDescent="0.35">
      <c r="B12" s="45"/>
      <c r="C12" s="45"/>
      <c r="D12" s="45"/>
      <c r="E12" s="48"/>
      <c r="F12" s="48"/>
      <c r="G12" s="48"/>
      <c r="H12" s="48"/>
      <c r="I12" s="48"/>
      <c r="J12" s="48"/>
      <c r="K12" s="48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</row>
    <row r="13" spans="1:33" x14ac:dyDescent="0.35">
      <c r="B13" s="45"/>
      <c r="C13" s="45"/>
      <c r="D13" s="45"/>
      <c r="E13" s="48"/>
      <c r="F13" s="48"/>
      <c r="G13" s="48"/>
      <c r="H13" s="48"/>
      <c r="I13" s="48"/>
      <c r="J13" s="48"/>
      <c r="K13" s="48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</row>
    <row r="14" spans="1:33" x14ac:dyDescent="0.35">
      <c r="B14" s="45"/>
      <c r="C14" s="45"/>
      <c r="D14" s="45"/>
      <c r="E14" s="48"/>
      <c r="F14" s="48"/>
      <c r="G14" s="48"/>
      <c r="H14" s="48"/>
      <c r="I14" s="48"/>
      <c r="J14" s="48"/>
      <c r="K14" s="48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</row>
    <row r="15" spans="1:33" x14ac:dyDescent="0.35">
      <c r="B15" s="45"/>
      <c r="C15" s="45"/>
      <c r="D15" s="45"/>
      <c r="E15" s="48"/>
      <c r="F15" s="48"/>
      <c r="G15" s="48"/>
      <c r="H15" s="48"/>
      <c r="I15" s="48"/>
      <c r="J15" s="48"/>
      <c r="K15" s="48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</vt:lpstr>
      <vt:lpstr>Revenue Model</vt:lpstr>
      <vt:lpstr>P&amp;L</vt:lpstr>
      <vt:lpstr>Balance Sheet</vt:lpstr>
      <vt:lpstr>Cash Flow</vt:lpstr>
      <vt:lpstr>Scenerios</vt:lpstr>
      <vt:lpstr>Monte Carlo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</dc:creator>
  <cp:lastModifiedBy>hammad rahim</cp:lastModifiedBy>
  <dcterms:created xsi:type="dcterms:W3CDTF">2015-06-05T18:17:20Z</dcterms:created>
  <dcterms:modified xsi:type="dcterms:W3CDTF">2026-05-13T22:30:42Z</dcterms:modified>
</cp:coreProperties>
</file>